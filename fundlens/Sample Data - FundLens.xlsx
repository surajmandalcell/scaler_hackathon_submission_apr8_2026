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" sheetId="1" state="visible" r:id="rId1"/>
    <sheet xmlns:r="http://schemas.openxmlformats.org/officeDocument/2006/relationships" name="Ownership %" sheetId="2" state="visible" r:id="rId2"/>
    <sheet xmlns:r="http://schemas.openxmlformats.org/officeDocument/2006/relationships" name="Cashflows Input" sheetId="3" state="visible" r:id="rId3"/>
    <sheet xmlns:r="http://schemas.openxmlformats.org/officeDocument/2006/relationships" name="Quarterly NAV Input" sheetId="4" state="visible" r:id="rId4"/>
    <sheet xmlns:r="http://schemas.openxmlformats.org/officeDocument/2006/relationships" name="NAV Walk" sheetId="5" state="visible" r:id="rId5"/>
    <sheet xmlns:r="http://schemas.openxmlformats.org/officeDocument/2006/relationships" name="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#,##0.000"/>
    <numFmt numFmtId="167" formatCode="0.000&quot;x&quot;"/>
  </numFmts>
  <fonts count="9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  <font>
      <sz val="10"/>
    </font>
    <font>
      <i val="1"/>
      <color rgb="00777777"/>
      <sz val="9"/>
    </font>
    <font>
      <i val="1"/>
      <color rgb="00555555"/>
      <sz val="9"/>
    </font>
    <font>
      <b val="1"/>
      <color rgb="001F4E79"/>
      <sz val="10"/>
    </font>
    <font>
      <b val="1"/>
      <sz val="10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9" fontId="3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  <xf numFmtId="4" fontId="7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8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6" customWidth="1" min="4" max="4"/>
    <col width="22" customWidth="1" min="5" max="5"/>
  </cols>
  <sheetData>
    <row r="2">
      <c r="B2" s="1" t="inlineStr">
        <is>
          <t>Table 1. Fund Onboarding</t>
        </is>
      </c>
    </row>
    <row r="4" ht="30" customHeight="1">
      <c r="B4" s="2" t="inlineStr">
        <is>
          <t>Fund Name</t>
        </is>
      </c>
      <c r="C4" s="2" t="inlineStr">
        <is>
          <t>Fund Currency</t>
        </is>
      </c>
      <c r="D4" s="2" t="inlineStr">
        <is>
          <t>Reporting Date</t>
        </is>
      </c>
      <c r="E4" s="3" t="inlineStr">
        <is>
          <t>Beginning NAV (USD M)</t>
        </is>
      </c>
    </row>
    <row r="5">
      <c r="B5" s="4" t="inlineStr">
        <is>
          <t>RE Sample Fund I</t>
        </is>
      </c>
      <c r="C5" s="5" t="inlineStr">
        <is>
          <t>USD</t>
        </is>
      </c>
      <c r="D5" s="5" t="inlineStr">
        <is>
          <t>2024-12-31</t>
        </is>
      </c>
      <c r="E5" s="6" t="n">
        <v>50</v>
      </c>
    </row>
    <row r="8">
      <c r="B8" s="1" t="inlineStr">
        <is>
          <t>Table 2. Investment Onboarding</t>
        </is>
      </c>
    </row>
    <row r="10">
      <c r="B10" s="2" t="inlineStr">
        <is>
          <t>Investment Name</t>
        </is>
      </c>
      <c r="C10" s="2" t="inlineStr">
        <is>
          <t>Sector</t>
        </is>
      </c>
      <c r="D10" s="2" t="inlineStr">
        <is>
          <t>Location</t>
        </is>
      </c>
      <c r="E10" s="2" t="inlineStr">
        <is>
          <t>Deal Currency</t>
        </is>
      </c>
    </row>
    <row r="11">
      <c r="B11" s="4" t="inlineStr">
        <is>
          <t>Embassy Office Park</t>
        </is>
      </c>
      <c r="C11" s="4" t="inlineStr">
        <is>
          <t>Office</t>
        </is>
      </c>
      <c r="D11" s="4" t="inlineStr">
        <is>
          <t>Bangalore, India</t>
        </is>
      </c>
      <c r="E11" s="5" t="inlineStr">
        <is>
          <t>INR</t>
        </is>
      </c>
    </row>
    <row r="12">
      <c r="B12" s="4" t="inlineStr">
        <is>
          <t>Prestige Residences</t>
        </is>
      </c>
      <c r="C12" s="4" t="inlineStr">
        <is>
          <t>Residential</t>
        </is>
      </c>
      <c r="D12" s="4" t="inlineStr">
        <is>
          <t>Mumbai, India</t>
        </is>
      </c>
      <c r="E12" s="5" t="inlineStr">
        <is>
          <t>INR</t>
        </is>
      </c>
    </row>
    <row r="13">
      <c r="B13" s="4" t="inlineStr">
        <is>
          <t>Mahindra Logistics Hub</t>
        </is>
      </c>
      <c r="C13" s="4" t="inlineStr">
        <is>
          <t>Logistics</t>
        </is>
      </c>
      <c r="D13" s="4" t="inlineStr">
        <is>
          <t>Pune, India</t>
        </is>
      </c>
      <c r="E13" s="5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</cols>
  <sheetData>
    <row r="2">
      <c r="B2" s="7" t="inlineStr">
        <is>
          <t>Admin-managed. Updated on fund agreement.</t>
        </is>
      </c>
    </row>
    <row r="4">
      <c r="B4" s="1" t="inlineStr">
        <is>
          <t>Fund Ownership by Investment</t>
        </is>
      </c>
    </row>
    <row r="6">
      <c r="B6" s="2" t="inlineStr">
        <is>
          <t>Investment Name</t>
        </is>
      </c>
      <c r="C6" s="2" t="inlineStr">
        <is>
          <t>RE Sample Fund I</t>
        </is>
      </c>
    </row>
    <row r="7">
      <c r="B7" s="4" t="inlineStr">
        <is>
          <t>Embassy Office Park</t>
        </is>
      </c>
      <c r="C7" s="8" t="n">
        <v>1</v>
      </c>
    </row>
    <row r="8">
      <c r="B8" s="4" t="inlineStr">
        <is>
          <t>Prestige Residences</t>
        </is>
      </c>
      <c r="C8" s="8" t="n">
        <v>1</v>
      </c>
    </row>
    <row r="9">
      <c r="B9" s="4" t="inlineStr">
        <is>
          <t>Mahindra Logistics Hub</t>
        </is>
      </c>
      <c r="C9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14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2">
      <c r="B2" s="9" t="inlineStr">
        <is>
          <t>Transaction types: contribution (outflow = negative), roc, gl_on_investment, gl_of_fx, current_income</t>
        </is>
      </c>
    </row>
    <row r="4" ht="32" customHeight="1">
      <c r="B4" s="2" t="inlineStr">
        <is>
          <t>Investment Name</t>
        </is>
      </c>
      <c r="C4" s="2" t="inlineStr">
        <is>
          <t>Fund Name</t>
        </is>
      </c>
      <c r="D4" s="2" t="inlineStr">
        <is>
          <t>Cash Date</t>
        </is>
      </c>
      <c r="E4" s="2" t="inlineStr">
        <is>
          <t>Transaction Type</t>
        </is>
      </c>
      <c r="F4" s="3" t="inlineStr">
        <is>
          <t>Deal Amt (INR Cr)</t>
        </is>
      </c>
      <c r="G4" s="3" t="inlineStr">
        <is>
          <t>FX Rate (INR/USD)</t>
        </is>
      </c>
      <c r="H4" s="3" t="inlineStr">
        <is>
          <t>Fund Amt (USD M)</t>
        </is>
      </c>
    </row>
    <row r="5">
      <c r="B5" s="4" t="inlineStr">
        <is>
          <t>Embassy Office Park</t>
        </is>
      </c>
      <c r="C5" s="4" t="inlineStr">
        <is>
          <t>RE Sample Fund I</t>
        </is>
      </c>
      <c r="D5" s="5" t="inlineStr">
        <is>
          <t>2021-03-15</t>
        </is>
      </c>
      <c r="E5" s="4" t="inlineStr">
        <is>
          <t>contribution</t>
        </is>
      </c>
      <c r="F5" s="10" t="n">
        <v>-588</v>
      </c>
      <c r="G5" s="11" t="n">
        <v>73.5</v>
      </c>
      <c r="H5" s="12" t="n">
        <v>-8</v>
      </c>
    </row>
    <row r="6">
      <c r="B6" s="13" t="inlineStr">
        <is>
          <t>Embassy Office Park</t>
        </is>
      </c>
      <c r="C6" s="13" t="inlineStr">
        <is>
          <t>RE Sample Fund I</t>
        </is>
      </c>
      <c r="D6" s="14" t="inlineStr">
        <is>
          <t>2022-06-01</t>
        </is>
      </c>
      <c r="E6" s="13" t="inlineStr">
        <is>
          <t>contribution</t>
        </is>
      </c>
      <c r="F6" s="15" t="n">
        <v>-411</v>
      </c>
      <c r="G6" s="16" t="n">
        <v>82.2</v>
      </c>
      <c r="H6" s="17" t="n">
        <v>-5</v>
      </c>
    </row>
    <row r="7">
      <c r="B7" s="4" t="inlineStr">
        <is>
          <t>Embassy Office Park</t>
        </is>
      </c>
      <c r="C7" s="4" t="inlineStr">
        <is>
          <t>RE Sample Fund I</t>
        </is>
      </c>
      <c r="D7" s="5" t="inlineStr">
        <is>
          <t>2023-06-01</t>
        </is>
      </c>
      <c r="E7" s="4" t="inlineStr">
        <is>
          <t>contribution</t>
        </is>
      </c>
      <c r="F7" s="10" t="n">
        <v>-165.6</v>
      </c>
      <c r="G7" s="11" t="n">
        <v>82.8</v>
      </c>
      <c r="H7" s="12" t="n">
        <v>-2</v>
      </c>
    </row>
    <row r="8">
      <c r="B8" s="13" t="inlineStr">
        <is>
          <t>Embassy Office Park</t>
        </is>
      </c>
      <c r="C8" s="13" t="inlineStr">
        <is>
          <t>RE Sample Fund I</t>
        </is>
      </c>
      <c r="D8" s="14" t="inlineStr">
        <is>
          <t>2024-09-30</t>
        </is>
      </c>
      <c r="E8" s="13" t="inlineStr">
        <is>
          <t>roc</t>
        </is>
      </c>
      <c r="F8" s="15" t="n">
        <v>252</v>
      </c>
      <c r="G8" s="16" t="n">
        <v>84</v>
      </c>
      <c r="H8" s="17" t="n">
        <v>3</v>
      </c>
    </row>
    <row r="9">
      <c r="B9" s="4" t="inlineStr">
        <is>
          <t>Embassy Office Park</t>
        </is>
      </c>
      <c r="C9" s="4" t="inlineStr">
        <is>
          <t>RE Sample Fund I</t>
        </is>
      </c>
      <c r="D9" s="5" t="inlineStr">
        <is>
          <t>2024-09-30</t>
        </is>
      </c>
      <c r="E9" s="4" t="inlineStr">
        <is>
          <t>gl_on_investment</t>
        </is>
      </c>
      <c r="F9" s="10" t="n">
        <v>100.8</v>
      </c>
      <c r="G9" s="11" t="n">
        <v>84</v>
      </c>
      <c r="H9" s="12" t="n">
        <v>1.2</v>
      </c>
    </row>
    <row r="10">
      <c r="B10" s="13" t="inlineStr">
        <is>
          <t>Embassy Office Park</t>
        </is>
      </c>
      <c r="C10" s="13" t="inlineStr">
        <is>
          <t>RE Sample Fund I</t>
        </is>
      </c>
      <c r="D10" s="14" t="inlineStr">
        <is>
          <t>2024-09-30</t>
        </is>
      </c>
      <c r="E10" s="13" t="inlineStr">
        <is>
          <t>gl_of_fx</t>
        </is>
      </c>
      <c r="F10" s="15" t="n">
        <v>0</v>
      </c>
      <c r="G10" s="16" t="n">
        <v>84</v>
      </c>
      <c r="H10" s="17" t="n">
        <v>0.1</v>
      </c>
    </row>
    <row r="11">
      <c r="B11" s="4" t="inlineStr">
        <is>
          <t>Embassy Office Park</t>
        </is>
      </c>
      <c r="C11" s="4" t="inlineStr">
        <is>
          <t>RE Sample Fund I</t>
        </is>
      </c>
      <c r="D11" s="5" t="inlineStr">
        <is>
          <t>2024-12-31</t>
        </is>
      </c>
      <c r="E11" s="4" t="inlineStr">
        <is>
          <t>current_income</t>
        </is>
      </c>
      <c r="F11" s="10" t="n">
        <v>42</v>
      </c>
      <c r="G11" s="11" t="n">
        <v>84</v>
      </c>
      <c r="H11" s="12" t="n">
        <v>0.5</v>
      </c>
    </row>
    <row r="12">
      <c r="B12" s="13" t="inlineStr">
        <is>
          <t>Prestige Residences</t>
        </is>
      </c>
      <c r="C12" s="13" t="inlineStr">
        <is>
          <t>RE Sample Fund I</t>
        </is>
      </c>
      <c r="D12" s="14" t="inlineStr">
        <is>
          <t>2022-01-10</t>
        </is>
      </c>
      <c r="E12" s="13" t="inlineStr">
        <is>
          <t>contribution</t>
        </is>
      </c>
      <c r="F12" s="15" t="n">
        <v>-525</v>
      </c>
      <c r="G12" s="16" t="n">
        <v>75</v>
      </c>
      <c r="H12" s="17" t="n">
        <v>-7</v>
      </c>
    </row>
    <row r="13">
      <c r="B13" s="4" t="inlineStr">
        <is>
          <t>Prestige Residences</t>
        </is>
      </c>
      <c r="C13" s="4" t="inlineStr">
        <is>
          <t>RE Sample Fund I</t>
        </is>
      </c>
      <c r="D13" s="5" t="inlineStr">
        <is>
          <t>2023-03-01</t>
        </is>
      </c>
      <c r="E13" s="4" t="inlineStr">
        <is>
          <t>contribution</t>
        </is>
      </c>
      <c r="F13" s="10" t="n">
        <v>-247.5</v>
      </c>
      <c r="G13" s="11" t="n">
        <v>82.5</v>
      </c>
      <c r="H13" s="12" t="n">
        <v>-3</v>
      </c>
    </row>
    <row r="14">
      <c r="B14" s="13" t="inlineStr">
        <is>
          <t>Prestige Residences</t>
        </is>
      </c>
      <c r="C14" s="13" t="inlineStr">
        <is>
          <t>RE Sample Fund I</t>
        </is>
      </c>
      <c r="D14" s="14" t="inlineStr">
        <is>
          <t>2024-07-31</t>
        </is>
      </c>
      <c r="E14" s="13" t="inlineStr">
        <is>
          <t>roc</t>
        </is>
      </c>
      <c r="F14" s="15" t="n">
        <v>184.8</v>
      </c>
      <c r="G14" s="16" t="n">
        <v>84</v>
      </c>
      <c r="H14" s="17" t="n">
        <v>2.2</v>
      </c>
    </row>
    <row r="15">
      <c r="B15" s="4" t="inlineStr">
        <is>
          <t>Prestige Residences</t>
        </is>
      </c>
      <c r="C15" s="4" t="inlineStr">
        <is>
          <t>RE Sample Fund I</t>
        </is>
      </c>
      <c r="D15" s="5" t="inlineStr">
        <is>
          <t>2024-07-31</t>
        </is>
      </c>
      <c r="E15" s="4" t="inlineStr">
        <is>
          <t>gl_on_investment</t>
        </is>
      </c>
      <c r="F15" s="10" t="n">
        <v>58.8</v>
      </c>
      <c r="G15" s="11" t="n">
        <v>84</v>
      </c>
      <c r="H15" s="12" t="n">
        <v>0.7</v>
      </c>
    </row>
    <row r="16">
      <c r="B16" s="13" t="inlineStr">
        <is>
          <t>Prestige Residences</t>
        </is>
      </c>
      <c r="C16" s="13" t="inlineStr">
        <is>
          <t>RE Sample Fund I</t>
        </is>
      </c>
      <c r="D16" s="14" t="inlineStr">
        <is>
          <t>2024-12-31</t>
        </is>
      </c>
      <c r="E16" s="13" t="inlineStr">
        <is>
          <t>current_income</t>
        </is>
      </c>
      <c r="F16" s="15" t="n">
        <v>25.2</v>
      </c>
      <c r="G16" s="16" t="n">
        <v>84</v>
      </c>
      <c r="H16" s="17" t="n">
        <v>0.3</v>
      </c>
    </row>
    <row r="17">
      <c r="B17" s="4" t="inlineStr">
        <is>
          <t>Mahindra Logistics Hub</t>
        </is>
      </c>
      <c r="C17" s="4" t="inlineStr">
        <is>
          <t>RE Sample Fund I</t>
        </is>
      </c>
      <c r="D17" s="5" t="inlineStr">
        <is>
          <t>2022-09-01</t>
        </is>
      </c>
      <c r="E17" s="4" t="inlineStr">
        <is>
          <t>contribution</t>
        </is>
      </c>
      <c r="F17" s="10" t="n">
        <v>-399</v>
      </c>
      <c r="G17" s="11" t="n">
        <v>79.8</v>
      </c>
      <c r="H17" s="12" t="n">
        <v>-5</v>
      </c>
    </row>
    <row r="18">
      <c r="B18" s="13" t="inlineStr">
        <is>
          <t>Mahindra Logistics Hub</t>
        </is>
      </c>
      <c r="C18" s="13" t="inlineStr">
        <is>
          <t>RE Sample Fund I</t>
        </is>
      </c>
      <c r="D18" s="14" t="inlineStr">
        <is>
          <t>2023-11-01</t>
        </is>
      </c>
      <c r="E18" s="13" t="inlineStr">
        <is>
          <t>contribution</t>
        </is>
      </c>
      <c r="F18" s="15" t="n">
        <v>-166.8</v>
      </c>
      <c r="G18" s="16" t="n">
        <v>83.40000000000001</v>
      </c>
      <c r="H18" s="17" t="n">
        <v>-2</v>
      </c>
    </row>
    <row r="19">
      <c r="B19" s="4" t="inlineStr">
        <is>
          <t>Mahindra Logistics Hub</t>
        </is>
      </c>
      <c r="C19" s="4" t="inlineStr">
        <is>
          <t>RE Sample Fund I</t>
        </is>
      </c>
      <c r="D19" s="5" t="inlineStr">
        <is>
          <t>2024-11-30</t>
        </is>
      </c>
      <c r="E19" s="4" t="inlineStr">
        <is>
          <t>roc</t>
        </is>
      </c>
      <c r="F19" s="10" t="n">
        <v>100.8</v>
      </c>
      <c r="G19" s="11" t="n">
        <v>84</v>
      </c>
      <c r="H19" s="12" t="n">
        <v>1.2</v>
      </c>
    </row>
    <row r="20">
      <c r="B20" s="13" t="inlineStr">
        <is>
          <t>Mahindra Logistics Hub</t>
        </is>
      </c>
      <c r="C20" s="13" t="inlineStr">
        <is>
          <t>RE Sample Fund I</t>
        </is>
      </c>
      <c r="D20" s="14" t="inlineStr">
        <is>
          <t>2024-11-30</t>
        </is>
      </c>
      <c r="E20" s="13" t="inlineStr">
        <is>
          <t>gl_on_investment</t>
        </is>
      </c>
      <c r="F20" s="15" t="n">
        <v>50.4</v>
      </c>
      <c r="G20" s="16" t="n">
        <v>84</v>
      </c>
      <c r="H20" s="17" t="n">
        <v>0.6</v>
      </c>
    </row>
    <row r="21">
      <c r="B21" s="4" t="inlineStr">
        <is>
          <t>Mahindra Logistics Hub</t>
        </is>
      </c>
      <c r="C21" s="4" t="inlineStr">
        <is>
          <t>RE Sample Fund I</t>
        </is>
      </c>
      <c r="D21" s="5" t="inlineStr">
        <is>
          <t>2024-12-31</t>
        </is>
      </c>
      <c r="E21" s="4" t="inlineStr">
        <is>
          <t>current_income</t>
        </is>
      </c>
      <c r="F21" s="10" t="n">
        <v>16.8</v>
      </c>
      <c r="G21" s="11" t="n">
        <v>84</v>
      </c>
      <c r="H21" s="1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24" customWidth="1" min="4" max="4"/>
  </cols>
  <sheetData>
    <row r="2">
      <c r="B2" s="9" t="inlineStr">
        <is>
          <t>Appraiser valuations as of quarter-end. Manual input by admin.</t>
        </is>
      </c>
    </row>
    <row r="3">
      <c r="B3" s="18" t="inlineStr">
        <is>
          <t>Quarter: Q4 2024 (2024-12-31)</t>
        </is>
      </c>
    </row>
    <row r="4" ht="32" customHeight="1">
      <c r="B4" s="2" t="inlineStr">
        <is>
          <t>Investment Name</t>
        </is>
      </c>
      <c r="C4" s="3" t="inlineStr">
        <is>
          <t>Appraiser NAV @ 100% (USD M)</t>
        </is>
      </c>
      <c r="D4" s="3" t="inlineStr">
        <is>
          <t>Fund Ownership %</t>
        </is>
      </c>
    </row>
    <row r="5">
      <c r="B5" s="4" t="inlineStr">
        <is>
          <t>Embassy Office Park</t>
        </is>
      </c>
      <c r="C5" s="6" t="n">
        <v>24</v>
      </c>
      <c r="D5" s="8" t="n">
        <v>1</v>
      </c>
    </row>
    <row r="6">
      <c r="B6" s="4" t="inlineStr">
        <is>
          <t>Prestige Residences</t>
        </is>
      </c>
      <c r="C6" s="6" t="n">
        <v>18</v>
      </c>
      <c r="D6" s="8" t="n">
        <v>1</v>
      </c>
    </row>
    <row r="7">
      <c r="B7" s="4" t="inlineStr">
        <is>
          <t>Mahindra Logistics Hub</t>
        </is>
      </c>
      <c r="C7" s="6" t="n">
        <v>10</v>
      </c>
      <c r="D7" s="8" t="n">
        <v>1</v>
      </c>
    </row>
    <row r="8">
      <c r="B8" s="19" t="inlineStr">
        <is>
          <t>TOTAL</t>
        </is>
      </c>
      <c r="C8" s="20" t="n">
        <v>52</v>
      </c>
      <c r="D8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22" t="inlineStr">
        <is>
          <t>RE Sample Fund I  -  Q4 2024 NAV Bridge  (USD Millions)</t>
        </is>
      </c>
    </row>
    <row r="4" ht="36" customHeight="1">
      <c r="B4" s="2" t="inlineStr">
        <is>
          <t>Line Item</t>
        </is>
      </c>
      <c r="C4" s="3" t="inlineStr">
        <is>
          <t>Embassy Office Park</t>
        </is>
      </c>
      <c r="D4" s="3" t="inlineStr">
        <is>
          <t>Prestige Residences</t>
        </is>
      </c>
      <c r="E4" s="3" t="inlineStr">
        <is>
          <t>Mahindra Logistics Hub</t>
        </is>
      </c>
      <c r="F4" s="23" t="inlineStr">
        <is>
          <t>TOTAL FUND</t>
        </is>
      </c>
    </row>
    <row r="5">
      <c r="B5" s="19" t="inlineStr">
        <is>
          <t>Beginning NAV</t>
        </is>
      </c>
      <c r="C5" s="24" t="inlineStr"/>
      <c r="D5" s="24" t="inlineStr"/>
      <c r="E5" s="24" t="inlineStr"/>
      <c r="F5" s="20" t="n">
        <v>50</v>
      </c>
    </row>
    <row r="6">
      <c r="B6" s="4" t="inlineStr">
        <is>
          <t>(+) Contribution</t>
        </is>
      </c>
      <c r="C6" s="6" t="n">
        <v>0</v>
      </c>
      <c r="D6" s="6" t="n">
        <v>0</v>
      </c>
      <c r="E6" s="6" t="n">
        <v>0</v>
      </c>
      <c r="F6" s="25" t="n">
        <v>0</v>
      </c>
    </row>
    <row r="7">
      <c r="B7" s="4" t="inlineStr">
        <is>
          <t>(-) ROC</t>
        </is>
      </c>
      <c r="C7" s="6" t="n">
        <v>3</v>
      </c>
      <c r="D7" s="6" t="n">
        <v>2.2</v>
      </c>
      <c r="E7" s="6" t="n">
        <v>1.2</v>
      </c>
      <c r="F7" s="6" t="n">
        <v>6.4</v>
      </c>
    </row>
    <row r="8">
      <c r="B8" s="4" t="inlineStr">
        <is>
          <t>(+) G/L on Investment</t>
        </is>
      </c>
      <c r="C8" s="6" t="n">
        <v>1.2</v>
      </c>
      <c r="D8" s="6" t="n">
        <v>0.7</v>
      </c>
      <c r="E8" s="6" t="n">
        <v>0.6</v>
      </c>
      <c r="F8" s="25" t="n">
        <v>2.5</v>
      </c>
    </row>
    <row r="9">
      <c r="B9" s="4" t="inlineStr">
        <is>
          <t>(+) G/L of FX</t>
        </is>
      </c>
      <c r="C9" s="6" t="n">
        <v>0.1</v>
      </c>
      <c r="D9" s="6" t="n">
        <v>0</v>
      </c>
      <c r="E9" s="6" t="n">
        <v>0</v>
      </c>
      <c r="F9" s="6" t="n">
        <v>0.1</v>
      </c>
    </row>
    <row r="10">
      <c r="B10" s="4" t="inlineStr">
        <is>
          <t>(+) Current Income</t>
        </is>
      </c>
      <c r="C10" s="6" t="n">
        <v>0.5</v>
      </c>
      <c r="D10" s="6" t="n">
        <v>0.3</v>
      </c>
      <c r="E10" s="6" t="n">
        <v>0.2</v>
      </c>
      <c r="F10" s="25" t="n">
        <v>1</v>
      </c>
    </row>
    <row r="11">
      <c r="B11" s="19">
        <f> CF Adjusted NAV</f>
        <v/>
      </c>
      <c r="C11" s="24" t="inlineStr"/>
      <c r="D11" s="24" t="inlineStr"/>
      <c r="E11" s="24" t="inlineStr"/>
      <c r="F11" s="20" t="n">
        <v>47.2</v>
      </c>
    </row>
    <row r="12">
      <c r="B12" s="4" t="inlineStr">
        <is>
          <t>(-) Income Reversal</t>
        </is>
      </c>
      <c r="C12" s="4" t="inlineStr"/>
      <c r="D12" s="4" t="inlineStr"/>
      <c r="E12" s="4" t="inlineStr"/>
      <c r="F12" s="25" t="n">
        <v>-1</v>
      </c>
    </row>
    <row r="13">
      <c r="B13" s="26" t="inlineStr">
        <is>
          <t>(+/-) Write Up/Down *</t>
        </is>
      </c>
      <c r="C13" s="26" t="inlineStr"/>
      <c r="D13" s="26" t="inlineStr"/>
      <c r="E13" s="26" t="inlineStr"/>
      <c r="F13" s="27" t="n">
        <v>5.8</v>
      </c>
    </row>
    <row r="14">
      <c r="B14" s="19">
        <f> Ending NAV (appraiser)</f>
        <v/>
      </c>
      <c r="C14" s="28" t="n">
        <v>24</v>
      </c>
      <c r="D14" s="28" t="n">
        <v>18</v>
      </c>
      <c r="E14" s="28" t="n">
        <v>10</v>
      </c>
      <c r="F14" s="20" t="n">
        <v>52</v>
      </c>
    </row>
    <row r="16">
      <c r="B16" s="7" t="inlineStr">
        <is>
          <t>* Write Up/Down = Ending NAV - (CF Adj NAV + Income Reversal).  This is the plug figure — never directly input.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</cols>
  <sheetData>
    <row r="2">
      <c r="B2" s="22" t="inlineStr">
        <is>
          <t>RE Sample Fund I  -  Performance Metrics  (as of 2024-12-31)</t>
        </is>
      </c>
    </row>
    <row r="4">
      <c r="B4" s="1" t="inlineStr">
        <is>
          <t>Building Blocks</t>
        </is>
      </c>
    </row>
    <row r="5">
      <c r="B5" s="2" t="inlineStr">
        <is>
          <t>Item</t>
        </is>
      </c>
      <c r="C5" s="2" t="inlineStr">
        <is>
          <t>Value (USD M)</t>
        </is>
      </c>
    </row>
    <row r="6">
      <c r="B6" s="4" t="inlineStr">
        <is>
          <t>Total Invested Capital</t>
        </is>
      </c>
      <c r="C6" s="6" t="n">
        <v>32</v>
      </c>
    </row>
    <row r="7">
      <c r="B7" s="4" t="inlineStr">
        <is>
          <t>Total Distributions</t>
        </is>
      </c>
      <c r="C7" s="6" t="n">
        <v>7.4</v>
      </c>
    </row>
    <row r="8">
      <c r="B8" s="4" t="inlineStr">
        <is>
          <t>Unrealized Value (Ending NAV)</t>
        </is>
      </c>
      <c r="C8" s="6" t="n">
        <v>52</v>
      </c>
    </row>
    <row r="10">
      <c r="B10" s="1" t="inlineStr">
        <is>
          <t>Performance Metrics</t>
        </is>
      </c>
    </row>
    <row r="11">
      <c r="B11" s="2" t="inlineStr">
        <is>
          <t>Metric</t>
        </is>
      </c>
      <c r="C11" s="2" t="inlineStr">
        <is>
          <t>Value</t>
        </is>
      </c>
    </row>
    <row r="12">
      <c r="B12" s="4" t="inlineStr">
        <is>
          <t>MOIC   = (Distributions + Unrealized) / Invested</t>
        </is>
      </c>
      <c r="C12" s="29" t="n">
        <v>1.856</v>
      </c>
    </row>
    <row r="13">
      <c r="B13" s="4" t="inlineStr">
        <is>
          <t>IRR    = XIRR on dated USD cashflows + terminal NAV</t>
        </is>
      </c>
      <c r="C13" s="30" t="inlineStr">
        <is>
          <t>~22%</t>
        </is>
      </c>
    </row>
    <row r="15">
      <c r="B15" s="7" t="inlineStr">
        <is>
          <t>IRR uses Newton-Raphson XIRR on USD fund_amt cashflows. Terminal cashflow = Ending NAV on 2024-12-31.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2026-04-03T11:52:50Z</dcterms:created>
  <dcterms:modified xmlns:dcterms="http://purl.org/dc/terms/" xmlns:xsi="http://www.w3.org/2001/XMLSchema-instance" xsi:type="dcterms:W3CDTF">2026-04-03T11:52:50Z</dcterms:modified>
</cp:coreProperties>
</file>