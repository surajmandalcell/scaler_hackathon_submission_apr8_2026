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E:\Claude projects\Hackathon\"/>
    </mc:Choice>
  </mc:AlternateContent>
  <xr:revisionPtr revIDLastSave="0" documentId="13_ncr:1_{EC06F371-1FB9-4030-ACC7-7E4C1C4F160A}" xr6:coauthVersionLast="47" xr6:coauthVersionMax="47" xr10:uidLastSave="{00000000-0000-0000-0000-000000000000}"/>
  <bookViews>
    <workbookView xWindow="-120" yWindow="-120" windowWidth="38640" windowHeight="21240" tabRatio="873" activeTab="8" xr2:uid="{00000000-000D-0000-FFFF-FFFF00000000}"/>
  </bookViews>
  <sheets>
    <sheet name="Important Note" sheetId="11" r:id="rId1"/>
    <sheet name="Input tabs for admin &gt;&gt;" sheetId="4" r:id="rId2"/>
    <sheet name="Onboarding tab" sheetId="6" r:id="rId3"/>
    <sheet name="Quarterly Input Tab" sheetId="2" r:id="rId4"/>
    <sheet name="Normal user can see this&gt;" sheetId="5" r:id="rId5"/>
    <sheet name="Ownerhsip %" sheetId="1" r:id="rId6"/>
    <sheet name="Cashflows Input Tab" sheetId="3" r:id="rId7"/>
    <sheet name="Working Logic Tabs &gt;&gt;" sheetId="7" r:id="rId8"/>
    <sheet name="NAV Walk tab" sheetId="8" r:id="rId9"/>
    <sheet name="Returns Calculations" sheetId="9" r:id="rId10"/>
  </sheets>
  <definedNames>
    <definedName name="_xlnm._FilterDatabase" localSheetId="9" hidden="1">'Returns Calculations'!$A$10:$K$1001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7" i="8" l="1"/>
  <c r="N6" i="8"/>
  <c r="M7" i="8"/>
  <c r="M6" i="8"/>
  <c r="E9" i="9"/>
  <c r="D9" i="9"/>
  <c r="B13" i="9"/>
  <c r="B14" i="9" s="1"/>
  <c r="B15" i="9" s="1"/>
  <c r="B16" i="9" s="1"/>
  <c r="B17" i="9" s="1"/>
  <c r="B18" i="9" s="1"/>
  <c r="B19" i="9" s="1"/>
  <c r="B20" i="9" s="1"/>
  <c r="B21" i="9" s="1"/>
  <c r="B22" i="9" s="1"/>
  <c r="B23" i="9" s="1"/>
  <c r="B24" i="9" s="1"/>
  <c r="B25" i="9" s="1"/>
  <c r="B26" i="9" s="1"/>
  <c r="B27" i="9" s="1"/>
  <c r="B28" i="9" s="1"/>
  <c r="B29" i="9" s="1"/>
  <c r="B30" i="9" s="1"/>
  <c r="B31" i="9" s="1"/>
  <c r="B32" i="9" s="1"/>
  <c r="B33" i="9" s="1"/>
  <c r="B34" i="9" s="1"/>
  <c r="B35" i="9" s="1"/>
  <c r="B36" i="9" s="1"/>
  <c r="B37" i="9" s="1"/>
  <c r="B38" i="9" s="1"/>
  <c r="B39" i="9" s="1"/>
  <c r="B40" i="9" s="1"/>
  <c r="B41" i="9" s="1"/>
  <c r="B42" i="9" s="1"/>
  <c r="B43" i="9" s="1"/>
  <c r="B44" i="9" s="1"/>
  <c r="B45" i="9" s="1"/>
  <c r="B46" i="9" s="1"/>
  <c r="B47" i="9" s="1"/>
  <c r="B48" i="9" s="1"/>
  <c r="B49" i="9" s="1"/>
  <c r="B50" i="9" s="1"/>
  <c r="B51" i="9" s="1"/>
  <c r="B52" i="9" s="1"/>
  <c r="B53" i="9" s="1"/>
  <c r="B54" i="9" s="1"/>
  <c r="B55" i="9" s="1"/>
  <c r="B56" i="9" s="1"/>
  <c r="B57" i="9" s="1"/>
  <c r="B58" i="9" s="1"/>
  <c r="B59" i="9" s="1"/>
  <c r="B60" i="9" s="1"/>
  <c r="B61" i="9" s="1"/>
  <c r="B62" i="9" s="1"/>
  <c r="B63" i="9" s="1"/>
  <c r="B64" i="9" s="1"/>
  <c r="B65" i="9" s="1"/>
  <c r="B66" i="9" s="1"/>
  <c r="B67" i="9" s="1"/>
  <c r="B68" i="9" s="1"/>
  <c r="B69" i="9" s="1"/>
  <c r="B70" i="9" s="1"/>
  <c r="B71" i="9" s="1"/>
  <c r="B72" i="9" s="1"/>
  <c r="B73" i="9" s="1"/>
  <c r="B74" i="9" s="1"/>
  <c r="B75" i="9" s="1"/>
  <c r="B76" i="9" s="1"/>
  <c r="B77" i="9" s="1"/>
  <c r="B78" i="9" s="1"/>
  <c r="B79" i="9" s="1"/>
  <c r="B80" i="9" s="1"/>
  <c r="B81" i="9" s="1"/>
  <c r="B82" i="9" s="1"/>
  <c r="B83" i="9" s="1"/>
  <c r="B84" i="9" s="1"/>
  <c r="B85" i="9" s="1"/>
  <c r="B86" i="9" s="1"/>
  <c r="B87" i="9" s="1"/>
  <c r="B88" i="9" s="1"/>
  <c r="B89" i="9" s="1"/>
  <c r="B90" i="9" s="1"/>
  <c r="B91" i="9" s="1"/>
  <c r="B92" i="9" s="1"/>
  <c r="B93" i="9" s="1"/>
  <c r="B94" i="9" s="1"/>
  <c r="B95" i="9" s="1"/>
  <c r="B96" i="9" s="1"/>
  <c r="B97" i="9" s="1"/>
  <c r="B98" i="9" s="1"/>
  <c r="B99" i="9" s="1"/>
  <c r="B100" i="9" s="1"/>
  <c r="B101" i="9" s="1"/>
  <c r="B102" i="9" s="1"/>
  <c r="B103" i="9" s="1"/>
  <c r="B104" i="9" s="1"/>
  <c r="B105" i="9" s="1"/>
  <c r="B106" i="9" s="1"/>
  <c r="B107" i="9" s="1"/>
  <c r="B108" i="9" s="1"/>
  <c r="B109" i="9" s="1"/>
  <c r="B110" i="9" s="1"/>
  <c r="B111" i="9" s="1"/>
  <c r="B112" i="9" s="1"/>
  <c r="B113" i="9" s="1"/>
  <c r="B114" i="9" s="1"/>
  <c r="B115" i="9" s="1"/>
  <c r="B116" i="9" s="1"/>
  <c r="B117" i="9" s="1"/>
  <c r="B118" i="9" s="1"/>
  <c r="B119" i="9" s="1"/>
  <c r="B120" i="9" s="1"/>
  <c r="B121" i="9" s="1"/>
  <c r="B122" i="9" s="1"/>
  <c r="B123" i="9" s="1"/>
  <c r="B124" i="9" s="1"/>
  <c r="B125" i="9" s="1"/>
  <c r="B126" i="9" s="1"/>
  <c r="B127" i="9" s="1"/>
  <c r="B128" i="9" s="1"/>
  <c r="B129" i="9" s="1"/>
  <c r="B130" i="9" s="1"/>
  <c r="B131" i="9" s="1"/>
  <c r="B132" i="9" s="1"/>
  <c r="B133" i="9" s="1"/>
  <c r="B134" i="9" s="1"/>
  <c r="B135" i="9" s="1"/>
  <c r="B136" i="9" s="1"/>
  <c r="B137" i="9" s="1"/>
  <c r="B138" i="9" s="1"/>
  <c r="B139" i="9" s="1"/>
  <c r="B140" i="9" s="1"/>
  <c r="B141" i="9" s="1"/>
  <c r="B142" i="9" s="1"/>
  <c r="B143" i="9" s="1"/>
  <c r="B144" i="9" s="1"/>
  <c r="B145" i="9" s="1"/>
  <c r="B146" i="9" s="1"/>
  <c r="B147" i="9" s="1"/>
  <c r="B148" i="9" s="1"/>
  <c r="B149" i="9" s="1"/>
  <c r="B150" i="9" s="1"/>
  <c r="B151" i="9" s="1"/>
  <c r="B152" i="9" s="1"/>
  <c r="B153" i="9" s="1"/>
  <c r="B154" i="9" s="1"/>
  <c r="B155" i="9" s="1"/>
  <c r="B156" i="9" s="1"/>
  <c r="B157" i="9" s="1"/>
  <c r="B158" i="9" s="1"/>
  <c r="B159" i="9" s="1"/>
  <c r="B160" i="9" s="1"/>
  <c r="B161" i="9" s="1"/>
  <c r="B162" i="9" s="1"/>
  <c r="B163" i="9" s="1"/>
  <c r="B164" i="9" s="1"/>
  <c r="B165" i="9" s="1"/>
  <c r="B166" i="9" s="1"/>
  <c r="B167" i="9" s="1"/>
  <c r="B168" i="9" s="1"/>
  <c r="B169" i="9" s="1"/>
  <c r="B170" i="9" s="1"/>
  <c r="B171" i="9" s="1"/>
  <c r="B172" i="9" s="1"/>
  <c r="B173" i="9" s="1"/>
  <c r="B174" i="9" s="1"/>
  <c r="B175" i="9" s="1"/>
  <c r="B176" i="9" s="1"/>
  <c r="B177" i="9" s="1"/>
  <c r="B178" i="9" s="1"/>
  <c r="B179" i="9" s="1"/>
  <c r="B180" i="9" s="1"/>
  <c r="B181" i="9" s="1"/>
  <c r="B182" i="9" s="1"/>
  <c r="B183" i="9" s="1"/>
  <c r="B184" i="9" s="1"/>
  <c r="B185" i="9" s="1"/>
  <c r="B186" i="9" s="1"/>
  <c r="B187" i="9" s="1"/>
  <c r="B188" i="9" s="1"/>
  <c r="B189" i="9" s="1"/>
  <c r="B190" i="9" s="1"/>
  <c r="B191" i="9" s="1"/>
  <c r="B192" i="9" s="1"/>
  <c r="B193" i="9" s="1"/>
  <c r="B194" i="9" s="1"/>
  <c r="B195" i="9" s="1"/>
  <c r="B196" i="9" s="1"/>
  <c r="B197" i="9" s="1"/>
  <c r="B198" i="9" s="1"/>
  <c r="B199" i="9" s="1"/>
  <c r="B200" i="9" s="1"/>
  <c r="B201" i="9" s="1"/>
  <c r="B202" i="9" s="1"/>
  <c r="B203" i="9" s="1"/>
  <c r="B204" i="9" s="1"/>
  <c r="B205" i="9" s="1"/>
  <c r="B206" i="9" s="1"/>
  <c r="B207" i="9" s="1"/>
  <c r="B208" i="9" s="1"/>
  <c r="B209" i="9" s="1"/>
  <c r="B210" i="9" s="1"/>
  <c r="B211" i="9" s="1"/>
  <c r="B212" i="9" s="1"/>
  <c r="B213" i="9" s="1"/>
  <c r="B214" i="9" s="1"/>
  <c r="B215" i="9" s="1"/>
  <c r="B216" i="9" s="1"/>
  <c r="B217" i="9" s="1"/>
  <c r="B218" i="9" s="1"/>
  <c r="B219" i="9" s="1"/>
  <c r="B220" i="9" s="1"/>
  <c r="B221" i="9" s="1"/>
  <c r="B222" i="9" s="1"/>
  <c r="B223" i="9" s="1"/>
  <c r="B224" i="9" s="1"/>
  <c r="B225" i="9" s="1"/>
  <c r="B226" i="9" s="1"/>
  <c r="B227" i="9" s="1"/>
  <c r="B228" i="9" s="1"/>
  <c r="B229" i="9" s="1"/>
  <c r="B230" i="9" s="1"/>
  <c r="B231" i="9" s="1"/>
  <c r="B232" i="9" s="1"/>
  <c r="B233" i="9" s="1"/>
  <c r="B234" i="9" s="1"/>
  <c r="B235" i="9" s="1"/>
  <c r="B236" i="9" s="1"/>
  <c r="B237" i="9" s="1"/>
  <c r="B238" i="9" s="1"/>
  <c r="B239" i="9" s="1"/>
  <c r="B240" i="9" s="1"/>
  <c r="B241" i="9" s="1"/>
  <c r="B242" i="9" s="1"/>
  <c r="B243" i="9" s="1"/>
  <c r="B244" i="9" s="1"/>
  <c r="B245" i="9" s="1"/>
  <c r="B246" i="9" s="1"/>
  <c r="B247" i="9" s="1"/>
  <c r="B248" i="9" s="1"/>
  <c r="B249" i="9" s="1"/>
  <c r="B250" i="9" s="1"/>
  <c r="B251" i="9" s="1"/>
  <c r="B252" i="9" s="1"/>
  <c r="B253" i="9" s="1"/>
  <c r="B254" i="9" s="1"/>
  <c r="B255" i="9" s="1"/>
  <c r="B256" i="9" s="1"/>
  <c r="B257" i="9" s="1"/>
  <c r="B258" i="9" s="1"/>
  <c r="B259" i="9" s="1"/>
  <c r="B260" i="9" s="1"/>
  <c r="B261" i="9" s="1"/>
  <c r="B262" i="9" s="1"/>
  <c r="B263" i="9" s="1"/>
  <c r="B264" i="9" s="1"/>
  <c r="B265" i="9" s="1"/>
  <c r="B266" i="9" s="1"/>
  <c r="B267" i="9" s="1"/>
  <c r="B268" i="9" s="1"/>
  <c r="B269" i="9" s="1"/>
  <c r="B270" i="9" s="1"/>
  <c r="B271" i="9" s="1"/>
  <c r="B272" i="9" s="1"/>
  <c r="B273" i="9" s="1"/>
  <c r="B274" i="9" s="1"/>
  <c r="B275" i="9" s="1"/>
  <c r="B276" i="9" s="1"/>
  <c r="B277" i="9" s="1"/>
  <c r="B278" i="9" s="1"/>
  <c r="B279" i="9" s="1"/>
  <c r="B280" i="9" s="1"/>
  <c r="B281" i="9" s="1"/>
  <c r="B282" i="9" s="1"/>
  <c r="B283" i="9" s="1"/>
  <c r="B284" i="9" s="1"/>
  <c r="B285" i="9" s="1"/>
  <c r="B286" i="9" s="1"/>
  <c r="B287" i="9" s="1"/>
  <c r="B288" i="9" s="1"/>
  <c r="B289" i="9" s="1"/>
  <c r="B290" i="9" s="1"/>
  <c r="B291" i="9" s="1"/>
  <c r="B292" i="9" s="1"/>
  <c r="B293" i="9" s="1"/>
  <c r="B294" i="9" s="1"/>
  <c r="B295" i="9" s="1"/>
  <c r="B296" i="9" s="1"/>
  <c r="B297" i="9" s="1"/>
  <c r="B298" i="9" s="1"/>
  <c r="B299" i="9" s="1"/>
  <c r="B300" i="9" s="1"/>
  <c r="B301" i="9" s="1"/>
  <c r="B302" i="9" s="1"/>
  <c r="B303" i="9" s="1"/>
  <c r="B304" i="9" s="1"/>
  <c r="B305" i="9" s="1"/>
  <c r="B306" i="9" s="1"/>
  <c r="B307" i="9" s="1"/>
  <c r="B308" i="9" s="1"/>
  <c r="B309" i="9" s="1"/>
  <c r="B310" i="9" s="1"/>
  <c r="B311" i="9" s="1"/>
  <c r="B312" i="9" s="1"/>
  <c r="B313" i="9" s="1"/>
  <c r="B314" i="9" s="1"/>
  <c r="B315" i="9" s="1"/>
  <c r="B316" i="9" s="1"/>
  <c r="B317" i="9" s="1"/>
  <c r="B318" i="9" s="1"/>
  <c r="B319" i="9" s="1"/>
  <c r="B320" i="9" s="1"/>
  <c r="B321" i="9" s="1"/>
  <c r="B322" i="9" s="1"/>
  <c r="B323" i="9" s="1"/>
  <c r="B324" i="9" s="1"/>
  <c r="B325" i="9" s="1"/>
  <c r="B326" i="9" s="1"/>
  <c r="B327" i="9" s="1"/>
  <c r="B328" i="9" s="1"/>
  <c r="B329" i="9" s="1"/>
  <c r="B330" i="9" s="1"/>
  <c r="B331" i="9" s="1"/>
  <c r="B332" i="9" s="1"/>
  <c r="B333" i="9" s="1"/>
  <c r="B334" i="9" s="1"/>
  <c r="B335" i="9" s="1"/>
  <c r="B336" i="9" s="1"/>
  <c r="B337" i="9" s="1"/>
  <c r="B338" i="9" s="1"/>
  <c r="B339" i="9" s="1"/>
  <c r="B340" i="9" s="1"/>
  <c r="B341" i="9" s="1"/>
  <c r="B342" i="9" s="1"/>
  <c r="B343" i="9" s="1"/>
  <c r="B344" i="9" s="1"/>
  <c r="B345" i="9" s="1"/>
  <c r="B346" i="9" s="1"/>
  <c r="B347" i="9" s="1"/>
  <c r="B348" i="9" s="1"/>
  <c r="B349" i="9" s="1"/>
  <c r="B350" i="9" s="1"/>
  <c r="B351" i="9" s="1"/>
  <c r="B352" i="9" s="1"/>
  <c r="B353" i="9" s="1"/>
  <c r="B354" i="9" s="1"/>
  <c r="B355" i="9" s="1"/>
  <c r="B356" i="9" s="1"/>
  <c r="B357" i="9" s="1"/>
  <c r="B358" i="9" s="1"/>
  <c r="B359" i="9" s="1"/>
  <c r="B360" i="9" s="1"/>
  <c r="B361" i="9" s="1"/>
  <c r="B362" i="9" s="1"/>
  <c r="B363" i="9" s="1"/>
  <c r="B364" i="9" s="1"/>
  <c r="B365" i="9" s="1"/>
  <c r="B366" i="9" s="1"/>
  <c r="B367" i="9" s="1"/>
  <c r="B368" i="9" s="1"/>
  <c r="B369" i="9" s="1"/>
  <c r="B370" i="9" s="1"/>
  <c r="B371" i="9" s="1"/>
  <c r="B372" i="9" s="1"/>
  <c r="B373" i="9" s="1"/>
  <c r="B374" i="9" s="1"/>
  <c r="B375" i="9" s="1"/>
  <c r="B376" i="9" s="1"/>
  <c r="B377" i="9" s="1"/>
  <c r="B378" i="9" s="1"/>
  <c r="B379" i="9" s="1"/>
  <c r="B380" i="9" s="1"/>
  <c r="B381" i="9" s="1"/>
  <c r="B382" i="9" s="1"/>
  <c r="B383" i="9" s="1"/>
  <c r="B384" i="9" s="1"/>
  <c r="B385" i="9" s="1"/>
  <c r="B386" i="9" s="1"/>
  <c r="B387" i="9" s="1"/>
  <c r="B388" i="9" s="1"/>
  <c r="B389" i="9" s="1"/>
  <c r="B390" i="9" s="1"/>
  <c r="B391" i="9" s="1"/>
  <c r="B392" i="9" s="1"/>
  <c r="B393" i="9" s="1"/>
  <c r="B394" i="9" s="1"/>
  <c r="B395" i="9" s="1"/>
  <c r="B396" i="9" s="1"/>
  <c r="B397" i="9" s="1"/>
  <c r="B398" i="9" s="1"/>
  <c r="B399" i="9" s="1"/>
  <c r="B400" i="9" s="1"/>
  <c r="B401" i="9" s="1"/>
  <c r="B402" i="9" s="1"/>
  <c r="B403" i="9" s="1"/>
  <c r="B404" i="9" s="1"/>
  <c r="B405" i="9" s="1"/>
  <c r="B406" i="9" s="1"/>
  <c r="B407" i="9" s="1"/>
  <c r="B408" i="9" s="1"/>
  <c r="B409" i="9" s="1"/>
  <c r="B410" i="9" s="1"/>
  <c r="B411" i="9" s="1"/>
  <c r="B412" i="9" s="1"/>
  <c r="B413" i="9" s="1"/>
  <c r="B414" i="9" s="1"/>
  <c r="B415" i="9" s="1"/>
  <c r="B416" i="9" s="1"/>
  <c r="B417" i="9" s="1"/>
  <c r="B418" i="9" s="1"/>
  <c r="B419" i="9" s="1"/>
  <c r="B420" i="9" s="1"/>
  <c r="B421" i="9" s="1"/>
  <c r="B422" i="9" s="1"/>
  <c r="B423" i="9" s="1"/>
  <c r="B424" i="9" s="1"/>
  <c r="B425" i="9" s="1"/>
  <c r="B426" i="9" s="1"/>
  <c r="B427" i="9" s="1"/>
  <c r="B428" i="9" s="1"/>
  <c r="B429" i="9" s="1"/>
  <c r="B430" i="9" s="1"/>
  <c r="B431" i="9" s="1"/>
  <c r="B432" i="9" s="1"/>
  <c r="B433" i="9" s="1"/>
  <c r="B434" i="9" s="1"/>
  <c r="B435" i="9" s="1"/>
  <c r="B436" i="9" s="1"/>
  <c r="B437" i="9" s="1"/>
  <c r="B438" i="9" s="1"/>
  <c r="B439" i="9" s="1"/>
  <c r="B440" i="9" s="1"/>
  <c r="B441" i="9" s="1"/>
  <c r="B442" i="9" s="1"/>
  <c r="B443" i="9" s="1"/>
  <c r="B444" i="9" s="1"/>
  <c r="B445" i="9" s="1"/>
  <c r="B446" i="9" s="1"/>
  <c r="B447" i="9" s="1"/>
  <c r="B448" i="9" s="1"/>
  <c r="B449" i="9" s="1"/>
  <c r="B450" i="9" s="1"/>
  <c r="B451" i="9" s="1"/>
  <c r="B452" i="9" s="1"/>
  <c r="B453" i="9" s="1"/>
  <c r="B454" i="9" s="1"/>
  <c r="B455" i="9" s="1"/>
  <c r="B456" i="9" s="1"/>
  <c r="B457" i="9" s="1"/>
  <c r="B458" i="9" s="1"/>
  <c r="B459" i="9" s="1"/>
  <c r="B460" i="9" s="1"/>
  <c r="B461" i="9" s="1"/>
  <c r="B462" i="9" s="1"/>
  <c r="B463" i="9" s="1"/>
  <c r="B464" i="9" s="1"/>
  <c r="B465" i="9" s="1"/>
  <c r="B466" i="9" s="1"/>
  <c r="B467" i="9" s="1"/>
  <c r="B468" i="9" s="1"/>
  <c r="B469" i="9" s="1"/>
  <c r="B470" i="9" s="1"/>
  <c r="B471" i="9" s="1"/>
  <c r="B472" i="9" s="1"/>
  <c r="B473" i="9" s="1"/>
  <c r="B474" i="9" s="1"/>
  <c r="B475" i="9" s="1"/>
  <c r="B476" i="9" s="1"/>
  <c r="B477" i="9" s="1"/>
  <c r="B478" i="9" s="1"/>
  <c r="B479" i="9" s="1"/>
  <c r="B480" i="9" s="1"/>
  <c r="B481" i="9" s="1"/>
  <c r="B482" i="9" s="1"/>
  <c r="B483" i="9" s="1"/>
  <c r="B484" i="9" s="1"/>
  <c r="B485" i="9" s="1"/>
  <c r="B486" i="9" s="1"/>
  <c r="B487" i="9" s="1"/>
  <c r="B488" i="9" s="1"/>
  <c r="B489" i="9" s="1"/>
  <c r="B490" i="9" s="1"/>
  <c r="B491" i="9" s="1"/>
  <c r="B492" i="9" s="1"/>
  <c r="B493" i="9" s="1"/>
  <c r="B494" i="9" s="1"/>
  <c r="B495" i="9" s="1"/>
  <c r="B496" i="9" s="1"/>
  <c r="B497" i="9" s="1"/>
  <c r="B498" i="9" s="1"/>
  <c r="B499" i="9" s="1"/>
  <c r="B500" i="9" s="1"/>
  <c r="B501" i="9" s="1"/>
  <c r="B502" i="9" s="1"/>
  <c r="B503" i="9" s="1"/>
  <c r="B504" i="9" s="1"/>
  <c r="B505" i="9" s="1"/>
  <c r="B506" i="9" s="1"/>
  <c r="B507" i="9" s="1"/>
  <c r="B508" i="9" s="1"/>
  <c r="B509" i="9" s="1"/>
  <c r="B510" i="9" s="1"/>
  <c r="B511" i="9" s="1"/>
  <c r="B512" i="9" s="1"/>
  <c r="B513" i="9" s="1"/>
  <c r="B514" i="9" s="1"/>
  <c r="B515" i="9" s="1"/>
  <c r="B516" i="9" s="1"/>
  <c r="B517" i="9" s="1"/>
  <c r="B518" i="9" s="1"/>
  <c r="B519" i="9" s="1"/>
  <c r="B520" i="9" s="1"/>
  <c r="B521" i="9" s="1"/>
  <c r="B522" i="9" s="1"/>
  <c r="B523" i="9" s="1"/>
  <c r="B524" i="9" s="1"/>
  <c r="B525" i="9" s="1"/>
  <c r="B526" i="9" s="1"/>
  <c r="B527" i="9" s="1"/>
  <c r="B528" i="9" s="1"/>
  <c r="B529" i="9" s="1"/>
  <c r="B530" i="9" s="1"/>
  <c r="B531" i="9" s="1"/>
  <c r="B532" i="9" s="1"/>
  <c r="B533" i="9" s="1"/>
  <c r="B534" i="9" s="1"/>
  <c r="B535" i="9" s="1"/>
  <c r="B536" i="9" s="1"/>
  <c r="B537" i="9" s="1"/>
  <c r="B538" i="9" s="1"/>
  <c r="B539" i="9" s="1"/>
  <c r="B540" i="9" s="1"/>
  <c r="B541" i="9" s="1"/>
  <c r="B542" i="9" s="1"/>
  <c r="B543" i="9" s="1"/>
  <c r="B544" i="9" s="1"/>
  <c r="B545" i="9" s="1"/>
  <c r="B546" i="9" s="1"/>
  <c r="B547" i="9" s="1"/>
  <c r="B548" i="9" s="1"/>
  <c r="B549" i="9" s="1"/>
  <c r="B550" i="9" s="1"/>
  <c r="B551" i="9" s="1"/>
  <c r="B552" i="9" s="1"/>
  <c r="B553" i="9" s="1"/>
  <c r="B554" i="9" s="1"/>
  <c r="B555" i="9" s="1"/>
  <c r="B556" i="9" s="1"/>
  <c r="B557" i="9" s="1"/>
  <c r="B558" i="9" s="1"/>
  <c r="B559" i="9" s="1"/>
  <c r="B560" i="9" s="1"/>
  <c r="B561" i="9" s="1"/>
  <c r="B562" i="9" s="1"/>
  <c r="B563" i="9" s="1"/>
  <c r="B564" i="9" s="1"/>
  <c r="B565" i="9" s="1"/>
  <c r="B566" i="9" s="1"/>
  <c r="B567" i="9" s="1"/>
  <c r="B568" i="9" s="1"/>
  <c r="B569" i="9" s="1"/>
  <c r="B570" i="9" s="1"/>
  <c r="B571" i="9" s="1"/>
  <c r="B572" i="9" s="1"/>
  <c r="B573" i="9" s="1"/>
  <c r="B574" i="9" s="1"/>
  <c r="B575" i="9" s="1"/>
  <c r="B576" i="9" s="1"/>
  <c r="B577" i="9" s="1"/>
  <c r="B578" i="9" s="1"/>
  <c r="B579" i="9" s="1"/>
  <c r="B580" i="9" s="1"/>
  <c r="B581" i="9" s="1"/>
  <c r="B582" i="9" s="1"/>
  <c r="B583" i="9" s="1"/>
  <c r="B584" i="9" s="1"/>
  <c r="B585" i="9" s="1"/>
  <c r="B586" i="9" s="1"/>
  <c r="B587" i="9" s="1"/>
  <c r="B588" i="9" s="1"/>
  <c r="B589" i="9" s="1"/>
  <c r="B590" i="9" s="1"/>
  <c r="B591" i="9" s="1"/>
  <c r="B592" i="9" s="1"/>
  <c r="B593" i="9" s="1"/>
  <c r="B594" i="9" s="1"/>
  <c r="B595" i="9" s="1"/>
  <c r="B596" i="9" s="1"/>
  <c r="B597" i="9" s="1"/>
  <c r="B598" i="9" s="1"/>
  <c r="B599" i="9" s="1"/>
  <c r="B600" i="9" s="1"/>
  <c r="B601" i="9" s="1"/>
  <c r="B602" i="9" s="1"/>
  <c r="B603" i="9" s="1"/>
  <c r="B604" i="9" s="1"/>
  <c r="B605" i="9" s="1"/>
  <c r="B606" i="9" s="1"/>
  <c r="B607" i="9" s="1"/>
  <c r="B608" i="9" s="1"/>
  <c r="B609" i="9" s="1"/>
  <c r="B610" i="9" s="1"/>
  <c r="B611" i="9" s="1"/>
  <c r="B612" i="9" s="1"/>
  <c r="B613" i="9" s="1"/>
  <c r="B614" i="9" s="1"/>
  <c r="B615" i="9" s="1"/>
  <c r="B616" i="9" s="1"/>
  <c r="B617" i="9" s="1"/>
  <c r="B618" i="9" s="1"/>
  <c r="B619" i="9" s="1"/>
  <c r="B620" i="9" s="1"/>
  <c r="B621" i="9" s="1"/>
  <c r="B622" i="9" s="1"/>
  <c r="B623" i="9" s="1"/>
  <c r="B624" i="9" s="1"/>
  <c r="B625" i="9" s="1"/>
  <c r="B626" i="9" s="1"/>
  <c r="B627" i="9" s="1"/>
  <c r="B628" i="9" s="1"/>
  <c r="B629" i="9" s="1"/>
  <c r="B630" i="9" s="1"/>
  <c r="B631" i="9" s="1"/>
  <c r="B632" i="9" s="1"/>
  <c r="B633" i="9" s="1"/>
  <c r="B634" i="9" s="1"/>
  <c r="B635" i="9" s="1"/>
  <c r="B636" i="9" s="1"/>
  <c r="B637" i="9" s="1"/>
  <c r="B638" i="9" s="1"/>
  <c r="B639" i="9" s="1"/>
  <c r="B640" i="9" s="1"/>
  <c r="B641" i="9" s="1"/>
  <c r="B642" i="9" s="1"/>
  <c r="B643" i="9" s="1"/>
  <c r="B644" i="9" s="1"/>
  <c r="B645" i="9" s="1"/>
  <c r="B646" i="9" s="1"/>
  <c r="B647" i="9" s="1"/>
  <c r="B648" i="9" s="1"/>
  <c r="B649" i="9" s="1"/>
  <c r="B650" i="9" s="1"/>
  <c r="B651" i="9" s="1"/>
  <c r="B652" i="9" s="1"/>
  <c r="B653" i="9" s="1"/>
  <c r="B654" i="9" s="1"/>
  <c r="B655" i="9" s="1"/>
  <c r="B656" i="9" s="1"/>
  <c r="B657" i="9" s="1"/>
  <c r="B658" i="9" s="1"/>
  <c r="B659" i="9" s="1"/>
  <c r="B660" i="9" s="1"/>
  <c r="B661" i="9" s="1"/>
  <c r="B662" i="9" s="1"/>
  <c r="B663" i="9" s="1"/>
  <c r="B664" i="9" s="1"/>
  <c r="B665" i="9" s="1"/>
  <c r="B666" i="9" s="1"/>
  <c r="B667" i="9" s="1"/>
  <c r="B668" i="9" s="1"/>
  <c r="B669" i="9" s="1"/>
  <c r="B670" i="9" s="1"/>
  <c r="B671" i="9" s="1"/>
  <c r="B672" i="9" s="1"/>
  <c r="B673" i="9" s="1"/>
  <c r="B674" i="9" s="1"/>
  <c r="B675" i="9" s="1"/>
  <c r="B676" i="9" s="1"/>
  <c r="B677" i="9" s="1"/>
  <c r="B678" i="9" s="1"/>
  <c r="B679" i="9" s="1"/>
  <c r="B680" i="9" s="1"/>
  <c r="B681" i="9" s="1"/>
  <c r="B682" i="9" s="1"/>
  <c r="B683" i="9" s="1"/>
  <c r="B684" i="9" s="1"/>
  <c r="B685" i="9" s="1"/>
  <c r="B686" i="9" s="1"/>
  <c r="B687" i="9" s="1"/>
  <c r="B688" i="9" s="1"/>
  <c r="B689" i="9" s="1"/>
  <c r="B690" i="9" s="1"/>
  <c r="B691" i="9" s="1"/>
  <c r="B692" i="9" s="1"/>
  <c r="B693" i="9" s="1"/>
  <c r="B694" i="9" s="1"/>
  <c r="B695" i="9" s="1"/>
  <c r="B696" i="9" s="1"/>
  <c r="B697" i="9" s="1"/>
  <c r="B698" i="9" s="1"/>
  <c r="B699" i="9" s="1"/>
  <c r="B700" i="9" s="1"/>
  <c r="B701" i="9" s="1"/>
  <c r="B702" i="9" s="1"/>
  <c r="B703" i="9" s="1"/>
  <c r="B704" i="9" s="1"/>
  <c r="B705" i="9" s="1"/>
  <c r="B706" i="9" s="1"/>
  <c r="B707" i="9" s="1"/>
  <c r="B708" i="9" s="1"/>
  <c r="B709" i="9" s="1"/>
  <c r="B710" i="9" s="1"/>
  <c r="B711" i="9" s="1"/>
  <c r="B712" i="9" s="1"/>
  <c r="B713" i="9" s="1"/>
  <c r="B714" i="9" s="1"/>
  <c r="B715" i="9" s="1"/>
  <c r="B716" i="9" s="1"/>
  <c r="B717" i="9" s="1"/>
  <c r="B718" i="9" s="1"/>
  <c r="B719" i="9" s="1"/>
  <c r="B720" i="9" s="1"/>
  <c r="B721" i="9" s="1"/>
  <c r="B722" i="9" s="1"/>
  <c r="B723" i="9" s="1"/>
  <c r="B724" i="9" s="1"/>
  <c r="B725" i="9" s="1"/>
  <c r="B726" i="9" s="1"/>
  <c r="B727" i="9" s="1"/>
  <c r="B728" i="9" s="1"/>
  <c r="B729" i="9" s="1"/>
  <c r="B730" i="9" s="1"/>
  <c r="B731" i="9" s="1"/>
  <c r="B732" i="9" s="1"/>
  <c r="B733" i="9" s="1"/>
  <c r="B734" i="9" s="1"/>
  <c r="B735" i="9" s="1"/>
  <c r="B736" i="9" s="1"/>
  <c r="B737" i="9" s="1"/>
  <c r="B738" i="9" s="1"/>
  <c r="B739" i="9" s="1"/>
  <c r="B740" i="9" s="1"/>
  <c r="B741" i="9" s="1"/>
  <c r="B742" i="9" s="1"/>
  <c r="B743" i="9" s="1"/>
  <c r="B744" i="9" s="1"/>
  <c r="B745" i="9" s="1"/>
  <c r="B746" i="9" s="1"/>
  <c r="B747" i="9" s="1"/>
  <c r="B748" i="9" s="1"/>
  <c r="B749" i="9" s="1"/>
  <c r="B750" i="9" s="1"/>
  <c r="B751" i="9" s="1"/>
  <c r="B752" i="9" s="1"/>
  <c r="B753" i="9" s="1"/>
  <c r="B754" i="9" s="1"/>
  <c r="B755" i="9" s="1"/>
  <c r="B756" i="9" s="1"/>
  <c r="B757" i="9" s="1"/>
  <c r="B758" i="9" s="1"/>
  <c r="B759" i="9" s="1"/>
  <c r="B760" i="9" s="1"/>
  <c r="B761" i="9" s="1"/>
  <c r="B762" i="9" s="1"/>
  <c r="B763" i="9" s="1"/>
  <c r="B764" i="9" s="1"/>
  <c r="B765" i="9" s="1"/>
  <c r="B766" i="9" s="1"/>
  <c r="B767" i="9" s="1"/>
  <c r="B768" i="9" s="1"/>
  <c r="B769" i="9" s="1"/>
  <c r="B770" i="9" s="1"/>
  <c r="B771" i="9" s="1"/>
  <c r="B772" i="9" s="1"/>
  <c r="B773" i="9" s="1"/>
  <c r="B774" i="9" s="1"/>
  <c r="B775" i="9" s="1"/>
  <c r="B776" i="9" s="1"/>
  <c r="B777" i="9" s="1"/>
  <c r="B778" i="9" s="1"/>
  <c r="B779" i="9" s="1"/>
  <c r="B780" i="9" s="1"/>
  <c r="B781" i="9" s="1"/>
  <c r="B782" i="9" s="1"/>
  <c r="B783" i="9" s="1"/>
  <c r="B784" i="9" s="1"/>
  <c r="B785" i="9" s="1"/>
  <c r="B786" i="9" s="1"/>
  <c r="B787" i="9" s="1"/>
  <c r="B788" i="9" s="1"/>
  <c r="B789" i="9" s="1"/>
  <c r="B790" i="9" s="1"/>
  <c r="B791" i="9" s="1"/>
  <c r="B792" i="9" s="1"/>
  <c r="B793" i="9" s="1"/>
  <c r="B794" i="9" s="1"/>
  <c r="B795" i="9" s="1"/>
  <c r="B796" i="9" s="1"/>
  <c r="B797" i="9" s="1"/>
  <c r="B798" i="9" s="1"/>
  <c r="B799" i="9" s="1"/>
  <c r="B800" i="9" s="1"/>
  <c r="B801" i="9" s="1"/>
  <c r="B802" i="9" s="1"/>
  <c r="B803" i="9" s="1"/>
  <c r="B804" i="9" s="1"/>
  <c r="B805" i="9" s="1"/>
  <c r="B806" i="9" s="1"/>
  <c r="B807" i="9" s="1"/>
  <c r="B808" i="9" s="1"/>
  <c r="B809" i="9" s="1"/>
  <c r="B810" i="9" s="1"/>
  <c r="B811" i="9" s="1"/>
  <c r="B812" i="9" s="1"/>
  <c r="B813" i="9" s="1"/>
  <c r="B814" i="9" s="1"/>
  <c r="B815" i="9" s="1"/>
  <c r="B816" i="9" s="1"/>
  <c r="B817" i="9" s="1"/>
  <c r="B818" i="9" s="1"/>
  <c r="B819" i="9" s="1"/>
  <c r="B820" i="9" s="1"/>
  <c r="B821" i="9" s="1"/>
  <c r="B822" i="9" s="1"/>
  <c r="B823" i="9" s="1"/>
  <c r="B824" i="9" s="1"/>
  <c r="B825" i="9" s="1"/>
  <c r="B826" i="9" s="1"/>
  <c r="B827" i="9" s="1"/>
  <c r="B828" i="9" s="1"/>
  <c r="B829" i="9" s="1"/>
  <c r="B830" i="9" s="1"/>
  <c r="B831" i="9" s="1"/>
  <c r="B832" i="9" s="1"/>
  <c r="B833" i="9" s="1"/>
  <c r="B834" i="9" s="1"/>
  <c r="B835" i="9" s="1"/>
  <c r="B836" i="9" s="1"/>
  <c r="B837" i="9" s="1"/>
  <c r="B838" i="9" s="1"/>
  <c r="B839" i="9" s="1"/>
  <c r="B840" i="9" s="1"/>
  <c r="B841" i="9" s="1"/>
  <c r="B842" i="9" s="1"/>
  <c r="B843" i="9" s="1"/>
  <c r="B844" i="9" s="1"/>
  <c r="B845" i="9" s="1"/>
  <c r="B846" i="9" s="1"/>
  <c r="B847" i="9" s="1"/>
  <c r="B848" i="9" s="1"/>
  <c r="B849" i="9" s="1"/>
  <c r="B850" i="9" s="1"/>
  <c r="B851" i="9" s="1"/>
  <c r="B852" i="9" s="1"/>
  <c r="B853" i="9" s="1"/>
  <c r="B854" i="9" s="1"/>
  <c r="B855" i="9" s="1"/>
  <c r="B856" i="9" s="1"/>
  <c r="B857" i="9" s="1"/>
  <c r="B858" i="9" s="1"/>
  <c r="B859" i="9" s="1"/>
  <c r="B860" i="9" s="1"/>
  <c r="B861" i="9" s="1"/>
  <c r="B862" i="9" s="1"/>
  <c r="B863" i="9" s="1"/>
  <c r="B864" i="9" s="1"/>
  <c r="B865" i="9" s="1"/>
  <c r="B866" i="9" s="1"/>
  <c r="B867" i="9" s="1"/>
  <c r="B868" i="9" s="1"/>
  <c r="B869" i="9" s="1"/>
  <c r="B870" i="9" s="1"/>
  <c r="B871" i="9" s="1"/>
  <c r="B872" i="9" s="1"/>
  <c r="B873" i="9" s="1"/>
  <c r="B874" i="9" s="1"/>
  <c r="B875" i="9" s="1"/>
  <c r="B876" i="9" s="1"/>
  <c r="B877" i="9" s="1"/>
  <c r="B878" i="9" s="1"/>
  <c r="B879" i="9" s="1"/>
  <c r="B880" i="9" s="1"/>
  <c r="B881" i="9" s="1"/>
  <c r="B882" i="9" s="1"/>
  <c r="B883" i="9" s="1"/>
  <c r="B884" i="9" s="1"/>
  <c r="B885" i="9" s="1"/>
  <c r="B886" i="9" s="1"/>
  <c r="B887" i="9" s="1"/>
  <c r="B888" i="9" s="1"/>
  <c r="B889" i="9" s="1"/>
  <c r="B890" i="9" s="1"/>
  <c r="B891" i="9" s="1"/>
  <c r="B892" i="9" s="1"/>
  <c r="B893" i="9" s="1"/>
  <c r="B894" i="9" s="1"/>
  <c r="B895" i="9" s="1"/>
  <c r="B896" i="9" s="1"/>
  <c r="B897" i="9" s="1"/>
  <c r="B898" i="9" s="1"/>
  <c r="B899" i="9" s="1"/>
  <c r="B900" i="9" s="1"/>
  <c r="B901" i="9" s="1"/>
  <c r="B902" i="9" s="1"/>
  <c r="B903" i="9" s="1"/>
  <c r="B904" i="9" s="1"/>
  <c r="B905" i="9" s="1"/>
  <c r="B906" i="9" s="1"/>
  <c r="B907" i="9" s="1"/>
  <c r="B908" i="9" s="1"/>
  <c r="B909" i="9" s="1"/>
  <c r="B910" i="9" s="1"/>
  <c r="B911" i="9" s="1"/>
  <c r="B912" i="9" s="1"/>
  <c r="B913" i="9" s="1"/>
  <c r="B914" i="9" s="1"/>
  <c r="B915" i="9" s="1"/>
  <c r="B916" i="9" s="1"/>
  <c r="B917" i="9" s="1"/>
  <c r="B918" i="9" s="1"/>
  <c r="B919" i="9" s="1"/>
  <c r="B920" i="9" s="1"/>
  <c r="B921" i="9" s="1"/>
  <c r="B922" i="9" s="1"/>
  <c r="B923" i="9" s="1"/>
  <c r="B924" i="9" s="1"/>
  <c r="B925" i="9" s="1"/>
  <c r="B926" i="9" s="1"/>
  <c r="B927" i="9" s="1"/>
  <c r="B928" i="9" s="1"/>
  <c r="B929" i="9" s="1"/>
  <c r="B930" i="9" s="1"/>
  <c r="B931" i="9" s="1"/>
  <c r="B932" i="9" s="1"/>
  <c r="B933" i="9" s="1"/>
  <c r="B934" i="9" s="1"/>
  <c r="B935" i="9" s="1"/>
  <c r="B936" i="9" s="1"/>
  <c r="B937" i="9" s="1"/>
  <c r="B938" i="9" s="1"/>
  <c r="B939" i="9" s="1"/>
  <c r="B940" i="9" s="1"/>
  <c r="B941" i="9" s="1"/>
  <c r="B942" i="9" s="1"/>
  <c r="B943" i="9" s="1"/>
  <c r="B944" i="9" s="1"/>
  <c r="B945" i="9" s="1"/>
  <c r="B946" i="9" s="1"/>
  <c r="B947" i="9" s="1"/>
  <c r="B948" i="9" s="1"/>
  <c r="B949" i="9" s="1"/>
  <c r="B950" i="9" s="1"/>
  <c r="B951" i="9" s="1"/>
  <c r="B952" i="9" s="1"/>
  <c r="B953" i="9" s="1"/>
  <c r="B954" i="9" s="1"/>
  <c r="B955" i="9" s="1"/>
  <c r="B956" i="9" s="1"/>
  <c r="B957" i="9" s="1"/>
  <c r="B958" i="9" s="1"/>
  <c r="B959" i="9" s="1"/>
  <c r="B960" i="9" s="1"/>
  <c r="B961" i="9" s="1"/>
  <c r="B962" i="9" s="1"/>
  <c r="B963" i="9" s="1"/>
  <c r="B964" i="9" s="1"/>
  <c r="B965" i="9" s="1"/>
  <c r="B966" i="9" s="1"/>
  <c r="B967" i="9" s="1"/>
  <c r="B968" i="9" s="1"/>
  <c r="B969" i="9" s="1"/>
  <c r="B970" i="9" s="1"/>
  <c r="B971" i="9" s="1"/>
  <c r="B972" i="9" s="1"/>
  <c r="B973" i="9" s="1"/>
  <c r="B974" i="9" s="1"/>
  <c r="B975" i="9" s="1"/>
  <c r="B976" i="9" s="1"/>
  <c r="B977" i="9" s="1"/>
  <c r="B978" i="9" s="1"/>
  <c r="B979" i="9" s="1"/>
  <c r="B980" i="9" s="1"/>
  <c r="B981" i="9" s="1"/>
  <c r="B982" i="9" s="1"/>
  <c r="B983" i="9" s="1"/>
  <c r="B984" i="9" s="1"/>
  <c r="B985" i="9" s="1"/>
  <c r="B986" i="9" s="1"/>
  <c r="B987" i="9" s="1"/>
  <c r="B988" i="9" s="1"/>
  <c r="B989" i="9" s="1"/>
  <c r="B990" i="9" s="1"/>
  <c r="B991" i="9" s="1"/>
  <c r="B992" i="9" s="1"/>
  <c r="B993" i="9" s="1"/>
  <c r="B994" i="9" s="1"/>
  <c r="B995" i="9" s="1"/>
  <c r="B996" i="9" s="1"/>
  <c r="B997" i="9" s="1"/>
  <c r="B998" i="9" s="1"/>
  <c r="B999" i="9" s="1"/>
  <c r="B1000" i="9" s="1"/>
  <c r="B1001" i="9" s="1"/>
  <c r="B1002" i="9" s="1"/>
  <c r="B1003" i="9" s="1"/>
  <c r="B1004" i="9" s="1"/>
  <c r="B1005" i="9" s="1"/>
  <c r="B1006" i="9" s="1"/>
  <c r="B1007" i="9" s="1"/>
  <c r="B1008" i="9" s="1"/>
  <c r="B1009" i="9" s="1"/>
  <c r="B1010" i="9" s="1"/>
  <c r="B1011" i="9" s="1"/>
  <c r="B1012" i="9" s="1"/>
  <c r="B1013" i="9" s="1"/>
  <c r="B1014" i="9" s="1"/>
  <c r="B1015" i="9" s="1"/>
  <c r="B1016" i="9" s="1"/>
  <c r="B1017" i="9" s="1"/>
  <c r="D1020" i="9"/>
  <c r="D12" i="9"/>
  <c r="E935" i="9"/>
  <c r="D935" i="9"/>
  <c r="E1001" i="9"/>
  <c r="D1001" i="9"/>
  <c r="E12" i="9"/>
  <c r="E10" i="9" s="1"/>
  <c r="E1020" i="9"/>
  <c r="K7" i="8"/>
  <c r="K6" i="8"/>
  <c r="L7" i="8"/>
  <c r="L6" i="8"/>
  <c r="J7" i="8"/>
  <c r="J6" i="8"/>
  <c r="I7" i="8"/>
  <c r="I6" i="8"/>
  <c r="I47" i="2"/>
  <c r="H47" i="2"/>
  <c r="G47" i="2"/>
  <c r="E47" i="2"/>
  <c r="D47" i="2"/>
  <c r="C47" i="2"/>
  <c r="I46" i="2"/>
  <c r="H46" i="2"/>
  <c r="G46" i="2"/>
  <c r="E46" i="2"/>
  <c r="D46" i="2"/>
  <c r="C46" i="2"/>
  <c r="I45" i="2"/>
  <c r="H45" i="2"/>
  <c r="G45" i="2"/>
  <c r="E45" i="2"/>
  <c r="D45" i="2"/>
  <c r="C45" i="2"/>
  <c r="I44" i="2"/>
  <c r="H44" i="2"/>
  <c r="G44" i="2"/>
  <c r="E44" i="2"/>
  <c r="D44" i="2"/>
  <c r="C44" i="2"/>
  <c r="I43" i="2"/>
  <c r="H43" i="2"/>
  <c r="G43" i="2"/>
  <c r="E43" i="2"/>
  <c r="D43" i="2"/>
  <c r="C43" i="2"/>
  <c r="I42" i="2"/>
  <c r="H42" i="2"/>
  <c r="G42" i="2"/>
  <c r="E42" i="2"/>
  <c r="D42" i="2"/>
  <c r="C42" i="2"/>
  <c r="I41" i="2"/>
  <c r="H41" i="2"/>
  <c r="G41" i="2"/>
  <c r="E41" i="2"/>
  <c r="D41" i="2"/>
  <c r="C41" i="2"/>
  <c r="I40" i="2"/>
  <c r="H40" i="2"/>
  <c r="G40" i="2"/>
  <c r="E40" i="2"/>
  <c r="D40" i="2"/>
  <c r="C40" i="2"/>
  <c r="I39" i="2"/>
  <c r="H39" i="2"/>
  <c r="G39" i="2"/>
  <c r="E39" i="2"/>
  <c r="D39" i="2"/>
  <c r="C39" i="2"/>
  <c r="I38" i="2"/>
  <c r="H38" i="2"/>
  <c r="G38" i="2"/>
  <c r="E38" i="2"/>
  <c r="D38" i="2"/>
  <c r="C38" i="2"/>
  <c r="I37" i="2"/>
  <c r="H37" i="2"/>
  <c r="G37" i="2"/>
  <c r="E37" i="2"/>
  <c r="D37" i="2"/>
  <c r="C37" i="2"/>
  <c r="I36" i="2"/>
  <c r="H36" i="2"/>
  <c r="G36" i="2"/>
  <c r="E36" i="2"/>
  <c r="D36" i="2"/>
  <c r="C36" i="2"/>
  <c r="I35" i="2"/>
  <c r="H35" i="2"/>
  <c r="G35" i="2"/>
  <c r="E35" i="2"/>
  <c r="D35" i="2"/>
  <c r="C35" i="2"/>
  <c r="I34" i="2"/>
  <c r="H34" i="2"/>
  <c r="G34" i="2"/>
  <c r="E34" i="2"/>
  <c r="D34" i="2"/>
  <c r="C34" i="2"/>
  <c r="I33" i="2"/>
  <c r="H33" i="2"/>
  <c r="G33" i="2"/>
  <c r="E33" i="2"/>
  <c r="D33" i="2"/>
  <c r="C33" i="2"/>
  <c r="I26" i="2"/>
  <c r="H26" i="2"/>
  <c r="G26" i="2"/>
  <c r="I25" i="2"/>
  <c r="H25" i="2"/>
  <c r="G25" i="2"/>
  <c r="I24" i="2"/>
  <c r="H24" i="2"/>
  <c r="G24" i="2"/>
  <c r="I23" i="2"/>
  <c r="H23" i="2"/>
  <c r="G23" i="2"/>
  <c r="I22" i="2"/>
  <c r="H22" i="2"/>
  <c r="G22" i="2"/>
  <c r="I21" i="2"/>
  <c r="H21" i="2"/>
  <c r="G21" i="2"/>
  <c r="I20" i="2"/>
  <c r="H20" i="2"/>
  <c r="G20" i="2"/>
  <c r="I19" i="2"/>
  <c r="H19" i="2"/>
  <c r="G19" i="2"/>
  <c r="I18" i="2"/>
  <c r="H18" i="2"/>
  <c r="G18" i="2"/>
  <c r="I17" i="2"/>
  <c r="H17" i="2"/>
  <c r="G17" i="2"/>
  <c r="I16" i="2"/>
  <c r="H16" i="2"/>
  <c r="G16" i="2"/>
  <c r="I15" i="2"/>
  <c r="H15" i="2"/>
  <c r="G15" i="2"/>
  <c r="I14" i="2"/>
  <c r="H14" i="2"/>
  <c r="G14" i="2"/>
  <c r="I13" i="2"/>
  <c r="H13" i="2"/>
  <c r="G13" i="2"/>
  <c r="I12" i="2"/>
  <c r="H12" i="2"/>
  <c r="G12" i="2"/>
  <c r="E26" i="2"/>
  <c r="D26" i="2"/>
  <c r="C26" i="2"/>
  <c r="E25" i="2"/>
  <c r="D25" i="2"/>
  <c r="C25" i="2"/>
  <c r="E24" i="2"/>
  <c r="D24" i="2"/>
  <c r="C24" i="2"/>
  <c r="E23" i="2"/>
  <c r="D23" i="2"/>
  <c r="C23" i="2"/>
  <c r="E22" i="2"/>
  <c r="D22" i="2"/>
  <c r="C22" i="2"/>
  <c r="E21" i="2"/>
  <c r="D21" i="2"/>
  <c r="C21" i="2"/>
  <c r="E20" i="2"/>
  <c r="D20" i="2"/>
  <c r="C20" i="2"/>
  <c r="E19" i="2"/>
  <c r="D19" i="2"/>
  <c r="C19" i="2"/>
  <c r="E18" i="2"/>
  <c r="D18" i="2"/>
  <c r="C18" i="2"/>
  <c r="E17" i="2"/>
  <c r="D17" i="2"/>
  <c r="C17" i="2"/>
  <c r="E16" i="2"/>
  <c r="D16" i="2"/>
  <c r="C16" i="2"/>
  <c r="E15" i="2"/>
  <c r="D15" i="2"/>
  <c r="E14" i="2"/>
  <c r="D14" i="2"/>
  <c r="C14" i="2"/>
  <c r="E13" i="2"/>
  <c r="D13" i="2"/>
  <c r="C13" i="2"/>
  <c r="E12" i="2"/>
  <c r="D12" i="2"/>
  <c r="C12" i="2"/>
  <c r="C15" i="2"/>
  <c r="D10" i="9" l="1"/>
</calcChain>
</file>

<file path=xl/sharedStrings.xml><?xml version="1.0" encoding="utf-8"?>
<sst xmlns="http://schemas.openxmlformats.org/spreadsheetml/2006/main" count="214" uniqueCount="91">
  <si>
    <t>Table 1. Nav &amp; Debt MTM Input tab</t>
  </si>
  <si>
    <t>In the above section of page, should be what NAV and Debt MTM stands for and why these are important</t>
  </si>
  <si>
    <t>Instructions on how to update it ?</t>
  </si>
  <si>
    <t>Selection table</t>
  </si>
  <si>
    <t>quarter dropdown for the quarter to update</t>
  </si>
  <si>
    <t>Investment deal</t>
  </si>
  <si>
    <t>NAV Amt</t>
  </si>
  <si>
    <t>input rows &gt;&gt;</t>
  </si>
  <si>
    <t>Important for quarter selection&gt;&gt;</t>
  </si>
  <si>
    <t>Table 1. Fund Onboarding table</t>
  </si>
  <si>
    <t>Fund Name</t>
  </si>
  <si>
    <t>Fund Currency</t>
  </si>
  <si>
    <t>Table 2. Deal or Investment Table</t>
  </si>
  <si>
    <t>After we have the funds setup we can put the deals in which these funds are invested in</t>
  </si>
  <si>
    <t>Investment Name</t>
  </si>
  <si>
    <t>Fund Ownership</t>
  </si>
  <si>
    <t>Deal Currency</t>
  </si>
  <si>
    <t>Funds &gt;&gt;</t>
  </si>
  <si>
    <t>Investment 1</t>
  </si>
  <si>
    <t>Fund 1</t>
  </si>
  <si>
    <t>Fund 2</t>
  </si>
  <si>
    <t>Fund 3</t>
  </si>
  <si>
    <t>Investment 2</t>
  </si>
  <si>
    <t>Investment 3</t>
  </si>
  <si>
    <t>Investment 4</t>
  </si>
  <si>
    <t>Investment 5</t>
  </si>
  <si>
    <t>Investment 6</t>
  </si>
  <si>
    <t>Investment 7</t>
  </si>
  <si>
    <t>Investment 8</t>
  </si>
  <si>
    <t>Investment 9</t>
  </si>
  <si>
    <t>Investment 10</t>
  </si>
  <si>
    <t>Investment 11</t>
  </si>
  <si>
    <t>Investment 12</t>
  </si>
  <si>
    <t>Investment 13</t>
  </si>
  <si>
    <t>Investment 14</t>
  </si>
  <si>
    <t>Investment 15</t>
  </si>
  <si>
    <t>only updated my admin on the basis of the agreement</t>
  </si>
  <si>
    <t>Fund Ownership %</t>
  </si>
  <si>
    <t>Total NAV @100%</t>
  </si>
  <si>
    <t>internal calculation</t>
  </si>
  <si>
    <t>manual input</t>
  </si>
  <si>
    <t>USD</t>
  </si>
  <si>
    <t>this is the input table and will consilated all the funds at the 2nd table we should have to see the current funds with their currency</t>
  </si>
  <si>
    <t>&lt;&lt; example</t>
  </si>
  <si>
    <t>&lt;&lt; example matching the the data we will be using</t>
  </si>
  <si>
    <t>deal name</t>
  </si>
  <si>
    <t>fund name</t>
  </si>
  <si>
    <t>cash date</t>
  </si>
  <si>
    <t>deal currency</t>
  </si>
  <si>
    <t>deal amt</t>
  </si>
  <si>
    <t>fund currency</t>
  </si>
  <si>
    <t>fund amt</t>
  </si>
  <si>
    <t>whatever I put as a new cashflow it should be having a single id to identification</t>
  </si>
  <si>
    <t>Transaction type</t>
  </si>
  <si>
    <t>1. Dummy cashflow input table</t>
  </si>
  <si>
    <t>&lt;&lt; to replicate this type to table for user input</t>
  </si>
  <si>
    <t>2. cashflow table (all the inputs are consolidated here)</t>
  </si>
  <si>
    <t>Contribution</t>
  </si>
  <si>
    <t>cashflow id (system generated)</t>
  </si>
  <si>
    <t>Sys - 000001</t>
  </si>
  <si>
    <t>Sys - 000002</t>
  </si>
  <si>
    <t>&lt; this is a consolidated table for all the input we submit in the above table</t>
  </si>
  <si>
    <t>Need these button &gt;&gt;</t>
  </si>
  <si>
    <t>Submit button (it submit all the data in input tbale above to the consolidated data)</t>
  </si>
  <si>
    <t>Need this button &gt;&gt;</t>
  </si>
  <si>
    <t>Delete row button( enables the delete checkbox column at the end which when ticked makes those row eligible to be deleted from the system, thes helps us update the table to the most accurate data.)</t>
  </si>
  <si>
    <t>&lt;&lt; This table is the true source for all the materials where we need the cashflows</t>
  </si>
  <si>
    <t>need a consolidated table with a drap down option to select the nav and debt mtm for the selected quarter.</t>
  </si>
  <si>
    <t>look similar to the above table</t>
  </si>
  <si>
    <t>The above table after clicking on a submitted botton should clean this up and save it in a database which is consolidated for the below table</t>
  </si>
  <si>
    <t>All the input table should be cleared out when we click the submit button and these data should be updated in the consolidated database to fetch them when needed.</t>
  </si>
  <si>
    <t>example</t>
  </si>
  <si>
    <t>Deal name</t>
  </si>
  <si>
    <t>beginning NAV</t>
  </si>
  <si>
    <t>contribution</t>
  </si>
  <si>
    <t>current income(plus to have cashflow impact)</t>
  </si>
  <si>
    <t>cashflow adjusted NAV</t>
  </si>
  <si>
    <t>current inomce(-ive to remove the valuation impact)</t>
  </si>
  <si>
    <t>write up/down(the balancing figure/ plugin figure)</t>
  </si>
  <si>
    <t>ending NAV</t>
  </si>
  <si>
    <t>Hypothetical for now due to low data</t>
  </si>
  <si>
    <t>Disposition</t>
  </si>
  <si>
    <t>example for ITD IRR calc</t>
  </si>
  <si>
    <t>CQ NAV</t>
  </si>
  <si>
    <t>XIRR</t>
  </si>
  <si>
    <t>For Investment 1 its first investment was in 01/04/2022</t>
  </si>
  <si>
    <t>&lt;&lt; lets say these CFs happened here, will have better consolidated data later</t>
  </si>
  <si>
    <t>MOIC</t>
  </si>
  <si>
    <t>level 2 MOIC</t>
  </si>
  <si>
    <t>Level 3 IRR</t>
  </si>
  <si>
    <t>IRR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</si>
</sst>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7" x14ac:knownFonts="1">
    <font>
      <sz val="11"/>
      <color theme="1"/>
      <name val="Calibri"/>
      <family val="2"/>
      <scheme val="minor"/>
    </font>
    <font>
      <b/>
      <sz val="11"/>
      <color theme="1"/>
      <name val="Calibri"/>
      <family val="2"/>
      <scheme val="minor"/>
    </font>
    <font>
      <b/>
      <i/>
      <sz val="11"/>
      <color theme="1"/>
      <name val="Calibri"/>
      <family val="2"/>
      <scheme val="minor"/>
    </font>
    <font>
      <sz val="11"/>
      <color theme="1"/>
      <name val="Calibri"/>
      <family val="2"/>
      <scheme val="minor"/>
    </font>
    <font>
      <b/>
      <sz val="11"/>
      <color theme="0"/>
      <name val="Calibri"/>
      <family val="2"/>
      <scheme val="minor"/>
    </font>
    <font>
      <sz val="8"/>
      <name val="Calibri"/>
      <family val="2"/>
      <scheme val="minor"/>
    </font>
    <font>
      <b/>
      <i/>
      <sz val="11"/>
      <color rgb="FFFF000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1"/>
        <bgColor indexed="64"/>
      </patternFill>
    </fill>
    <fill>
      <patternFill patternType="solid">
        <fgColor theme="7"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theme="0"/>
      </left>
      <right style="thin">
        <color theme="0"/>
      </right>
      <top style="thin">
        <color theme="0"/>
      </top>
      <bottom style="thin">
        <color theme="0"/>
      </bottom>
      <diagonal/>
    </border>
    <border>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top/>
      <bottom style="thin">
        <color theme="0"/>
      </bottom>
      <diagonal/>
    </border>
    <border>
      <left style="thin">
        <color theme="0"/>
      </left>
      <right style="thin">
        <color theme="0"/>
      </right>
      <top/>
      <bottom/>
      <diagonal/>
    </border>
  </borders>
  <cellStyleXfs count="2">
    <xf numFmtId="0" fontId="0" fillId="0" borderId="0"/>
    <xf numFmtId="43" fontId="3" fillId="0" borderId="0" applyFont="0" applyFill="0" applyBorder="0" applyAlignment="0" applyProtection="0"/>
  </cellStyleXfs>
  <cellXfs count="32">
    <xf numFmtId="0" fontId="0" fillId="0" borderId="0" xfId="0"/>
    <xf numFmtId="0" fontId="1" fillId="0" borderId="0" xfId="0" applyFont="1"/>
    <xf numFmtId="0" fontId="1" fillId="0" borderId="1" xfId="0" applyFont="1" applyBorder="1"/>
    <xf numFmtId="0" fontId="0" fillId="0" borderId="1" xfId="0" applyBorder="1"/>
    <xf numFmtId="0" fontId="2" fillId="0" borderId="0" xfId="0" applyFont="1"/>
    <xf numFmtId="0" fontId="6" fillId="0" borderId="0" xfId="0" applyFont="1"/>
    <xf numFmtId="9" fontId="0" fillId="0" borderId="1" xfId="0" applyNumberFormat="1" applyBorder="1"/>
    <xf numFmtId="10" fontId="0" fillId="0" borderId="1" xfId="0" applyNumberFormat="1" applyBorder="1"/>
    <xf numFmtId="43" fontId="0" fillId="0" borderId="1" xfId="1" applyFont="1" applyBorder="1"/>
    <xf numFmtId="10" fontId="0" fillId="0" borderId="1" xfId="1" applyNumberFormat="1" applyFont="1" applyBorder="1"/>
    <xf numFmtId="0" fontId="1" fillId="0" borderId="2" xfId="0" applyFont="1" applyBorder="1" applyAlignment="1">
      <alignment horizontal="center"/>
    </xf>
    <xf numFmtId="0" fontId="0" fillId="2" borderId="1" xfId="0" applyFill="1" applyBorder="1"/>
    <xf numFmtId="0" fontId="0" fillId="3" borderId="1" xfId="0" applyFill="1" applyBorder="1"/>
    <xf numFmtId="0" fontId="0" fillId="0" borderId="3" xfId="0" applyFill="1" applyBorder="1"/>
    <xf numFmtId="0" fontId="0" fillId="0" borderId="0" xfId="0" applyFill="1" applyBorder="1"/>
    <xf numFmtId="0" fontId="1" fillId="3" borderId="1" xfId="0" applyFont="1" applyFill="1" applyBorder="1" applyAlignment="1">
      <alignment horizontal="center"/>
    </xf>
    <xf numFmtId="43" fontId="0" fillId="3" borderId="1" xfId="1" applyFont="1" applyFill="1" applyBorder="1"/>
    <xf numFmtId="14" fontId="0" fillId="0" borderId="0" xfId="0" applyNumberFormat="1"/>
    <xf numFmtId="43" fontId="0" fillId="0" borderId="0" xfId="1" applyFont="1"/>
    <xf numFmtId="0" fontId="0" fillId="0" borderId="2" xfId="0" applyBorder="1"/>
    <xf numFmtId="14" fontId="0" fillId="0" borderId="2" xfId="0" applyNumberFormat="1" applyBorder="1"/>
    <xf numFmtId="43" fontId="0" fillId="0" borderId="2" xfId="1" applyFont="1" applyBorder="1"/>
    <xf numFmtId="0" fontId="4" fillId="4" borderId="4" xfId="0" applyFont="1" applyFill="1" applyBorder="1"/>
    <xf numFmtId="0" fontId="0" fillId="0" borderId="5" xfId="0" applyBorder="1"/>
    <xf numFmtId="0" fontId="0" fillId="0" borderId="4" xfId="0" applyBorder="1"/>
    <xf numFmtId="0" fontId="4" fillId="4" borderId="7" xfId="0" applyFont="1" applyFill="1" applyBorder="1"/>
    <xf numFmtId="0" fontId="0" fillId="0" borderId="6" xfId="0" applyBorder="1"/>
    <xf numFmtId="0" fontId="0" fillId="5" borderId="8" xfId="0" applyFill="1" applyBorder="1" applyAlignment="1">
      <alignment horizontal="center"/>
    </xf>
    <xf numFmtId="43" fontId="0" fillId="0" borderId="0" xfId="0" applyNumberFormat="1"/>
    <xf numFmtId="10" fontId="0" fillId="0" borderId="0" xfId="0" applyNumberFormat="1"/>
    <xf numFmtId="10" fontId="0" fillId="0" borderId="0" xfId="0" applyNumberFormat="1" applyAlignment="1">
      <alignment horizontal="left"/>
    </xf>
    <xf numFmtId="0" fontId="4" fillId="4" borderId="9" xfId="0" applyFont="1" applyFill="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554A125-90E4-4730-801C-ABEC670901C4}">
  <we:reference id="wa200009404" version="1.0.0.8" store="en-US" storeType="OMEX"/>
  <we:alternateReferences>
    <we:reference id="WA200009404" version="1.0.0.8" store="" storeType="OMEX"/>
  </we:alternateReferences>
  <we:properties>
    <we:property name="claude.fileId" value="&quot;3b15b906-4a39-4af1-8898-d87b3c6d3334&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65A85-AAD8-4D2E-89EE-F291087C123E}">
  <dimension ref="A2"/>
  <sheetViews>
    <sheetView workbookViewId="0">
      <selection activeCell="A3" sqref="A3"/>
    </sheetView>
  </sheetViews>
  <sheetFormatPr defaultRowHeight="15" x14ac:dyDescent="0.25"/>
  <sheetData>
    <row r="2" spans="1:1" x14ac:dyDescent="0.25">
      <c r="A2" t="s">
        <v>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D71AF-7544-48C5-94E3-70C8769CE8B6}">
  <dimension ref="A1"/>
  <sheetViews>
    <sheetView showGridLines="0" workbookViewId="0">
      <selection activeCell="P56" sqref="P56"/>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6F6BB-AADC-4DF0-84CE-1B174DF4B503}">
  <dimension ref="A4:F23"/>
  <sheetViews>
    <sheetView showGridLines="0" workbookViewId="0">
      <selection activeCell="F20" sqref="F20"/>
    </sheetView>
  </sheetViews>
  <sheetFormatPr defaultRowHeight="15" x14ac:dyDescent="0.25"/>
  <cols>
    <col min="1" max="1" width="12.85546875" bestFit="1" customWidth="1"/>
    <col min="2" max="2" width="17" bestFit="1" customWidth="1"/>
    <col min="3" max="3" width="13.85546875" bestFit="1" customWidth="1"/>
    <col min="4" max="4" width="15.7109375" bestFit="1" customWidth="1"/>
    <col min="5" max="5" width="13.42578125" bestFit="1" customWidth="1"/>
  </cols>
  <sheetData>
    <row r="4" spans="1:4" x14ac:dyDescent="0.25">
      <c r="B4" t="s">
        <v>9</v>
      </c>
    </row>
    <row r="5" spans="1:4" x14ac:dyDescent="0.25">
      <c r="B5" t="s">
        <v>42</v>
      </c>
    </row>
    <row r="6" spans="1:4" x14ac:dyDescent="0.25">
      <c r="B6" s="2" t="s">
        <v>10</v>
      </c>
      <c r="C6" s="2" t="s">
        <v>11</v>
      </c>
    </row>
    <row r="7" spans="1:4" x14ac:dyDescent="0.25">
      <c r="A7" t="s">
        <v>7</v>
      </c>
      <c r="B7" s="3" t="s">
        <v>19</v>
      </c>
      <c r="C7" s="3" t="s">
        <v>41</v>
      </c>
      <c r="D7" s="14" t="s">
        <v>43</v>
      </c>
    </row>
    <row r="8" spans="1:4" x14ac:dyDescent="0.25">
      <c r="A8" t="s">
        <v>7</v>
      </c>
      <c r="B8" s="3"/>
      <c r="C8" s="3"/>
    </row>
    <row r="9" spans="1:4" x14ac:dyDescent="0.25">
      <c r="A9" t="s">
        <v>7</v>
      </c>
      <c r="B9" s="3"/>
      <c r="C9" s="3"/>
    </row>
    <row r="10" spans="1:4" x14ac:dyDescent="0.25">
      <c r="A10" t="s">
        <v>7</v>
      </c>
      <c r="B10" s="3"/>
      <c r="C10" s="3"/>
    </row>
    <row r="11" spans="1:4" x14ac:dyDescent="0.25">
      <c r="A11" t="s">
        <v>7</v>
      </c>
      <c r="B11" s="3"/>
      <c r="C11" s="3"/>
    </row>
    <row r="14" spans="1:4" x14ac:dyDescent="0.25">
      <c r="B14" t="s">
        <v>13</v>
      </c>
    </row>
    <row r="16" spans="1:4" x14ac:dyDescent="0.25">
      <c r="B16" t="s">
        <v>12</v>
      </c>
    </row>
    <row r="17" spans="1:6" x14ac:dyDescent="0.25">
      <c r="B17" t="s">
        <v>42</v>
      </c>
    </row>
    <row r="18" spans="1:6" x14ac:dyDescent="0.25">
      <c r="B18" s="2" t="s">
        <v>14</v>
      </c>
      <c r="C18" s="2" t="s">
        <v>10</v>
      </c>
      <c r="D18" s="2" t="s">
        <v>15</v>
      </c>
      <c r="E18" s="2" t="s">
        <v>16</v>
      </c>
    </row>
    <row r="19" spans="1:6" x14ac:dyDescent="0.25">
      <c r="A19" t="s">
        <v>7</v>
      </c>
      <c r="B19" s="3" t="s">
        <v>18</v>
      </c>
      <c r="C19" s="3" t="s">
        <v>19</v>
      </c>
      <c r="D19" s="6">
        <v>0.5</v>
      </c>
      <c r="E19" s="3" t="s">
        <v>41</v>
      </c>
      <c r="F19" s="13" t="s">
        <v>44</v>
      </c>
    </row>
    <row r="20" spans="1:6" x14ac:dyDescent="0.25">
      <c r="A20" t="s">
        <v>7</v>
      </c>
      <c r="B20" s="3" t="s">
        <v>18</v>
      </c>
      <c r="C20" s="3" t="s">
        <v>20</v>
      </c>
      <c r="D20" s="6">
        <v>0.5</v>
      </c>
      <c r="E20" s="3" t="s">
        <v>41</v>
      </c>
      <c r="F20" s="13" t="s">
        <v>44</v>
      </c>
    </row>
    <row r="21" spans="1:6" x14ac:dyDescent="0.25">
      <c r="A21" t="s">
        <v>7</v>
      </c>
      <c r="B21" s="3"/>
      <c r="C21" s="3"/>
      <c r="D21" s="3"/>
      <c r="E21" s="3"/>
    </row>
    <row r="22" spans="1:6" x14ac:dyDescent="0.25">
      <c r="A22" t="s">
        <v>7</v>
      </c>
      <c r="B22" s="3"/>
      <c r="C22" s="3"/>
      <c r="D22" s="3"/>
      <c r="E22" s="3"/>
    </row>
    <row r="23" spans="1:6" x14ac:dyDescent="0.25">
      <c r="A23" t="s">
        <v>7</v>
      </c>
      <c r="B23" s="3"/>
      <c r="C23" s="3"/>
      <c r="D23" s="3"/>
      <c r="E23" s="3"/>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D324E-9FAC-4DDA-AF5D-575F34AA696E}">
  <dimension ref="A2:I47"/>
  <sheetViews>
    <sheetView showGridLines="0" workbookViewId="0">
      <selection activeCell="H32" sqref="H32"/>
    </sheetView>
  </sheetViews>
  <sheetFormatPr defaultRowHeight="15" x14ac:dyDescent="0.25"/>
  <cols>
    <col min="1" max="1" width="31.5703125" bestFit="1" customWidth="1"/>
    <col min="2" max="2" width="18.85546875" customWidth="1"/>
    <col min="3" max="5" width="18.28515625" bestFit="1" customWidth="1"/>
    <col min="6" max="6" width="16.85546875" bestFit="1" customWidth="1"/>
    <col min="7" max="9" width="18.28515625" bestFit="1" customWidth="1"/>
  </cols>
  <sheetData>
    <row r="2" spans="1:9" x14ac:dyDescent="0.25">
      <c r="B2" t="s">
        <v>1</v>
      </c>
    </row>
    <row r="3" spans="1:9" x14ac:dyDescent="0.25">
      <c r="B3" t="s">
        <v>2</v>
      </c>
    </row>
    <row r="5" spans="1:9" x14ac:dyDescent="0.25">
      <c r="B5" t="s">
        <v>0</v>
      </c>
    </row>
    <row r="7" spans="1:9" x14ac:dyDescent="0.25">
      <c r="B7" t="s">
        <v>3</v>
      </c>
    </row>
    <row r="8" spans="1:9" x14ac:dyDescent="0.25">
      <c r="A8" s="4" t="s">
        <v>8</v>
      </c>
      <c r="B8" s="1" t="s">
        <v>4</v>
      </c>
    </row>
    <row r="9" spans="1:9" x14ac:dyDescent="0.25">
      <c r="A9" s="4"/>
      <c r="B9" s="1"/>
      <c r="C9" s="11" t="s">
        <v>39</v>
      </c>
      <c r="D9" s="11" t="s">
        <v>39</v>
      </c>
      <c r="E9" s="11" t="s">
        <v>39</v>
      </c>
      <c r="F9" s="12" t="s">
        <v>40</v>
      </c>
      <c r="G9" s="11" t="s">
        <v>39</v>
      </c>
      <c r="H9" s="11" t="s">
        <v>39</v>
      </c>
      <c r="I9" s="11" t="s">
        <v>39</v>
      </c>
    </row>
    <row r="10" spans="1:9" x14ac:dyDescent="0.25">
      <c r="C10" s="10" t="s">
        <v>37</v>
      </c>
      <c r="D10" s="10"/>
      <c r="E10" s="10"/>
      <c r="G10" s="10" t="s">
        <v>6</v>
      </c>
      <c r="H10" s="10"/>
      <c r="I10" s="10"/>
    </row>
    <row r="11" spans="1:9" x14ac:dyDescent="0.25">
      <c r="B11" s="2" t="s">
        <v>5</v>
      </c>
      <c r="C11" s="2" t="s">
        <v>19</v>
      </c>
      <c r="D11" s="2" t="s">
        <v>20</v>
      </c>
      <c r="E11" s="2" t="s">
        <v>21</v>
      </c>
      <c r="F11" s="15" t="s">
        <v>38</v>
      </c>
      <c r="G11" s="2" t="s">
        <v>19</v>
      </c>
      <c r="H11" s="2" t="s">
        <v>20</v>
      </c>
      <c r="I11" s="2" t="s">
        <v>21</v>
      </c>
    </row>
    <row r="12" spans="1:9" x14ac:dyDescent="0.25">
      <c r="A12" t="s">
        <v>7</v>
      </c>
      <c r="B12" s="3" t="s">
        <v>18</v>
      </c>
      <c r="C12" s="9">
        <f>INDEX('Ownerhsip %'!$C$6:$E$20,MATCH('Quarterly Input Tab'!$B12,'Ownerhsip %'!$B$6:$B$20,0),MATCH('Quarterly Input Tab'!C$11,'Ownerhsip %'!$C$5:$E$5,0))</f>
        <v>0.5</v>
      </c>
      <c r="D12" s="9">
        <f>INDEX('Ownerhsip %'!$C$6:$E$20,MATCH('Quarterly Input Tab'!$B12,'Ownerhsip %'!$B$6:$B$20,0),MATCH('Quarterly Input Tab'!D$11,'Ownerhsip %'!$C$5:$E$5,0))</f>
        <v>0.5</v>
      </c>
      <c r="E12" s="9">
        <f>INDEX('Ownerhsip %'!$C$6:$E$20,MATCH('Quarterly Input Tab'!$B12,'Ownerhsip %'!$B$6:$B$20,0),MATCH('Quarterly Input Tab'!E$11,'Ownerhsip %'!$C$5:$E$5,0))</f>
        <v>0</v>
      </c>
      <c r="F12" s="16">
        <v>1000000</v>
      </c>
      <c r="G12" s="8">
        <f>$F12*INDEX('Ownerhsip %'!$C$6:$E$20,MATCH($B12,'Ownerhsip %'!$B$6:$B$20,0),MATCH(G$11,'Ownerhsip %'!$C$5:$E$5,0))</f>
        <v>500000</v>
      </c>
      <c r="H12" s="8">
        <f>$F12*INDEX('Ownerhsip %'!$C$6:$E$20,MATCH($B12,'Ownerhsip %'!$B$6:$B$20,0),MATCH(H$11,'Ownerhsip %'!$C$5:$E$5,0))</f>
        <v>500000</v>
      </c>
      <c r="I12" s="8">
        <f>$F12*INDEX('Ownerhsip %'!$C$6:$E$20,MATCH($B12,'Ownerhsip %'!$B$6:$B$20,0),MATCH(I$11,'Ownerhsip %'!$C$5:$E$5,0))</f>
        <v>0</v>
      </c>
    </row>
    <row r="13" spans="1:9" x14ac:dyDescent="0.25">
      <c r="A13" t="s">
        <v>7</v>
      </c>
      <c r="B13" s="3" t="s">
        <v>22</v>
      </c>
      <c r="C13" s="9">
        <f>INDEX('Ownerhsip %'!$C$6:$E$20,MATCH('Quarterly Input Tab'!$B13,'Ownerhsip %'!$B$6:$B$20,0),MATCH('Quarterly Input Tab'!C$11,'Ownerhsip %'!$C$5:$E$5,0))</f>
        <v>1</v>
      </c>
      <c r="D13" s="9">
        <f>INDEX('Ownerhsip %'!$C$6:$E$20,MATCH('Quarterly Input Tab'!$B13,'Ownerhsip %'!$B$6:$B$20,0),MATCH('Quarterly Input Tab'!D$11,'Ownerhsip %'!$C$5:$E$5,0))</f>
        <v>0</v>
      </c>
      <c r="E13" s="9">
        <f>INDEX('Ownerhsip %'!$C$6:$E$20,MATCH('Quarterly Input Tab'!$B13,'Ownerhsip %'!$B$6:$B$20,0),MATCH('Quarterly Input Tab'!E$11,'Ownerhsip %'!$C$5:$E$5,0))</f>
        <v>0</v>
      </c>
      <c r="F13" s="16">
        <v>200000</v>
      </c>
      <c r="G13" s="8">
        <f>$F13*INDEX('Ownerhsip %'!$C$6:$E$20,MATCH($B13,'Ownerhsip %'!$B$6:$B$20,0),MATCH(G$11,'Ownerhsip %'!$C$5:$E$5,0))</f>
        <v>200000</v>
      </c>
      <c r="H13" s="8">
        <f>$F13*INDEX('Ownerhsip %'!$C$6:$E$20,MATCH($B13,'Ownerhsip %'!$B$6:$B$20,0),MATCH(H$11,'Ownerhsip %'!$C$5:$E$5,0))</f>
        <v>0</v>
      </c>
      <c r="I13" s="8">
        <f>$F13*INDEX('Ownerhsip %'!$C$6:$E$20,MATCH($B13,'Ownerhsip %'!$B$6:$B$20,0),MATCH(I$11,'Ownerhsip %'!$C$5:$E$5,0))</f>
        <v>0</v>
      </c>
    </row>
    <row r="14" spans="1:9" x14ac:dyDescent="0.25">
      <c r="A14" t="s">
        <v>7</v>
      </c>
      <c r="B14" s="3" t="s">
        <v>23</v>
      </c>
      <c r="C14" s="9">
        <f>INDEX('Ownerhsip %'!$C$6:$E$20,MATCH('Quarterly Input Tab'!$B14,'Ownerhsip %'!$B$6:$B$20,0),MATCH('Quarterly Input Tab'!C$11,'Ownerhsip %'!$C$5:$E$5,0))</f>
        <v>1</v>
      </c>
      <c r="D14" s="9">
        <f>INDEX('Ownerhsip %'!$C$6:$E$20,MATCH('Quarterly Input Tab'!$B14,'Ownerhsip %'!$B$6:$B$20,0),MATCH('Quarterly Input Tab'!D$11,'Ownerhsip %'!$C$5:$E$5,0))</f>
        <v>0</v>
      </c>
      <c r="E14" s="9">
        <f>INDEX('Ownerhsip %'!$C$6:$E$20,MATCH('Quarterly Input Tab'!$B14,'Ownerhsip %'!$B$6:$B$20,0),MATCH('Quarterly Input Tab'!E$11,'Ownerhsip %'!$C$5:$E$5,0))</f>
        <v>0</v>
      </c>
      <c r="F14" s="16">
        <v>350000</v>
      </c>
      <c r="G14" s="8">
        <f>$F14*INDEX('Ownerhsip %'!$C$6:$E$20,MATCH($B14,'Ownerhsip %'!$B$6:$B$20,0),MATCH(G$11,'Ownerhsip %'!$C$5:$E$5,0))</f>
        <v>350000</v>
      </c>
      <c r="H14" s="8">
        <f>$F14*INDEX('Ownerhsip %'!$C$6:$E$20,MATCH($B14,'Ownerhsip %'!$B$6:$B$20,0),MATCH(H$11,'Ownerhsip %'!$C$5:$E$5,0))</f>
        <v>0</v>
      </c>
      <c r="I14" s="8">
        <f>$F14*INDEX('Ownerhsip %'!$C$6:$E$20,MATCH($B14,'Ownerhsip %'!$B$6:$B$20,0),MATCH(I$11,'Ownerhsip %'!$C$5:$E$5,0))</f>
        <v>0</v>
      </c>
    </row>
    <row r="15" spans="1:9" x14ac:dyDescent="0.25">
      <c r="A15" t="s">
        <v>7</v>
      </c>
      <c r="B15" s="3" t="s">
        <v>24</v>
      </c>
      <c r="C15" s="9">
        <f>INDEX('Ownerhsip %'!$C$6:$E$20,MATCH('Quarterly Input Tab'!$B15,'Ownerhsip %'!$B$6:$B$20,0),MATCH('Quarterly Input Tab'!C$11,'Ownerhsip %'!$C$5:$E$5,0))</f>
        <v>0</v>
      </c>
      <c r="D15" s="9">
        <f>INDEX('Ownerhsip %'!$C$6:$E$20,MATCH('Quarterly Input Tab'!$B15,'Ownerhsip %'!$B$6:$B$20,0),MATCH('Quarterly Input Tab'!D$11,'Ownerhsip %'!$C$5:$E$5,0))</f>
        <v>0.75</v>
      </c>
      <c r="E15" s="9">
        <f>INDEX('Ownerhsip %'!$C$6:$E$20,MATCH('Quarterly Input Tab'!$B15,'Ownerhsip %'!$B$6:$B$20,0),MATCH('Quarterly Input Tab'!E$11,'Ownerhsip %'!$C$5:$E$5,0))</f>
        <v>0.25</v>
      </c>
      <c r="F15" s="16">
        <v>985000</v>
      </c>
      <c r="G15" s="8">
        <f>$F15*INDEX('Ownerhsip %'!$C$6:$E$20,MATCH($B15,'Ownerhsip %'!$B$6:$B$20,0),MATCH(G$11,'Ownerhsip %'!$C$5:$E$5,0))</f>
        <v>0</v>
      </c>
      <c r="H15" s="8">
        <f>$F15*INDEX('Ownerhsip %'!$C$6:$E$20,MATCH($B15,'Ownerhsip %'!$B$6:$B$20,0),MATCH(H$11,'Ownerhsip %'!$C$5:$E$5,0))</f>
        <v>738750</v>
      </c>
      <c r="I15" s="8">
        <f>$F15*INDEX('Ownerhsip %'!$C$6:$E$20,MATCH($B15,'Ownerhsip %'!$B$6:$B$20,0),MATCH(I$11,'Ownerhsip %'!$C$5:$E$5,0))</f>
        <v>246250</v>
      </c>
    </row>
    <row r="16" spans="1:9" x14ac:dyDescent="0.25">
      <c r="A16" t="s">
        <v>7</v>
      </c>
      <c r="B16" s="3" t="s">
        <v>25</v>
      </c>
      <c r="C16" s="9">
        <f>INDEX('Ownerhsip %'!$C$6:$E$20,MATCH('Quarterly Input Tab'!$B16,'Ownerhsip %'!$B$6:$B$20,0),MATCH('Quarterly Input Tab'!C$11,'Ownerhsip %'!$C$5:$E$5,0))</f>
        <v>0</v>
      </c>
      <c r="D16" s="9">
        <f>INDEX('Ownerhsip %'!$C$6:$E$20,MATCH('Quarterly Input Tab'!$B16,'Ownerhsip %'!$B$6:$B$20,0),MATCH('Quarterly Input Tab'!D$11,'Ownerhsip %'!$C$5:$E$5,0))</f>
        <v>0</v>
      </c>
      <c r="E16" s="9">
        <f>INDEX('Ownerhsip %'!$C$6:$E$20,MATCH('Quarterly Input Tab'!$B16,'Ownerhsip %'!$B$6:$B$20,0),MATCH('Quarterly Input Tab'!E$11,'Ownerhsip %'!$C$5:$E$5,0))</f>
        <v>1</v>
      </c>
      <c r="F16" s="16">
        <v>565000</v>
      </c>
      <c r="G16" s="8">
        <f>$F16*INDEX('Ownerhsip %'!$C$6:$E$20,MATCH($B16,'Ownerhsip %'!$B$6:$B$20,0),MATCH(G$11,'Ownerhsip %'!$C$5:$E$5,0))</f>
        <v>0</v>
      </c>
      <c r="H16" s="8">
        <f>$F16*INDEX('Ownerhsip %'!$C$6:$E$20,MATCH($B16,'Ownerhsip %'!$B$6:$B$20,0),MATCH(H$11,'Ownerhsip %'!$C$5:$E$5,0))</f>
        <v>0</v>
      </c>
      <c r="I16" s="8">
        <f>$F16*INDEX('Ownerhsip %'!$C$6:$E$20,MATCH($B16,'Ownerhsip %'!$B$6:$B$20,0),MATCH(I$11,'Ownerhsip %'!$C$5:$E$5,0))</f>
        <v>565000</v>
      </c>
    </row>
    <row r="17" spans="1:9" x14ac:dyDescent="0.25">
      <c r="A17" t="s">
        <v>7</v>
      </c>
      <c r="B17" s="3" t="s">
        <v>26</v>
      </c>
      <c r="C17" s="9">
        <f>INDEX('Ownerhsip %'!$C$6:$E$20,MATCH('Quarterly Input Tab'!$B17,'Ownerhsip %'!$B$6:$B$20,0),MATCH('Quarterly Input Tab'!C$11,'Ownerhsip %'!$C$5:$E$5,0))</f>
        <v>0</v>
      </c>
      <c r="D17" s="9">
        <f>INDEX('Ownerhsip %'!$C$6:$E$20,MATCH('Quarterly Input Tab'!$B17,'Ownerhsip %'!$B$6:$B$20,0),MATCH('Quarterly Input Tab'!D$11,'Ownerhsip %'!$C$5:$E$5,0))</f>
        <v>0</v>
      </c>
      <c r="E17" s="9">
        <f>INDEX('Ownerhsip %'!$C$6:$E$20,MATCH('Quarterly Input Tab'!$B17,'Ownerhsip %'!$B$6:$B$20,0),MATCH('Quarterly Input Tab'!E$11,'Ownerhsip %'!$C$5:$E$5,0))</f>
        <v>1</v>
      </c>
      <c r="F17" s="16">
        <v>5500000</v>
      </c>
      <c r="G17" s="8">
        <f>$F17*INDEX('Ownerhsip %'!$C$6:$E$20,MATCH($B17,'Ownerhsip %'!$B$6:$B$20,0),MATCH(G$11,'Ownerhsip %'!$C$5:$E$5,0))</f>
        <v>0</v>
      </c>
      <c r="H17" s="8">
        <f>$F17*INDEX('Ownerhsip %'!$C$6:$E$20,MATCH($B17,'Ownerhsip %'!$B$6:$B$20,0),MATCH(H$11,'Ownerhsip %'!$C$5:$E$5,0))</f>
        <v>0</v>
      </c>
      <c r="I17" s="8">
        <f>$F17*INDEX('Ownerhsip %'!$C$6:$E$20,MATCH($B17,'Ownerhsip %'!$B$6:$B$20,0),MATCH(I$11,'Ownerhsip %'!$C$5:$E$5,0))</f>
        <v>5500000</v>
      </c>
    </row>
    <row r="18" spans="1:9" x14ac:dyDescent="0.25">
      <c r="A18" t="s">
        <v>7</v>
      </c>
      <c r="B18" s="3" t="s">
        <v>27</v>
      </c>
      <c r="C18" s="9">
        <f>INDEX('Ownerhsip %'!$C$6:$E$20,MATCH('Quarterly Input Tab'!$B18,'Ownerhsip %'!$B$6:$B$20,0),MATCH('Quarterly Input Tab'!C$11,'Ownerhsip %'!$C$5:$E$5,0))</f>
        <v>0</v>
      </c>
      <c r="D18" s="9">
        <f>INDEX('Ownerhsip %'!$C$6:$E$20,MATCH('Quarterly Input Tab'!$B18,'Ownerhsip %'!$B$6:$B$20,0),MATCH('Quarterly Input Tab'!D$11,'Ownerhsip %'!$C$5:$E$5,0))</f>
        <v>1</v>
      </c>
      <c r="E18" s="9">
        <f>INDEX('Ownerhsip %'!$C$6:$E$20,MATCH('Quarterly Input Tab'!$B18,'Ownerhsip %'!$B$6:$B$20,0),MATCH('Quarterly Input Tab'!E$11,'Ownerhsip %'!$C$5:$E$5,0))</f>
        <v>0</v>
      </c>
      <c r="F18" s="16">
        <v>120000</v>
      </c>
      <c r="G18" s="8">
        <f>$F18*INDEX('Ownerhsip %'!$C$6:$E$20,MATCH($B18,'Ownerhsip %'!$B$6:$B$20,0),MATCH(G$11,'Ownerhsip %'!$C$5:$E$5,0))</f>
        <v>0</v>
      </c>
      <c r="H18" s="8">
        <f>$F18*INDEX('Ownerhsip %'!$C$6:$E$20,MATCH($B18,'Ownerhsip %'!$B$6:$B$20,0),MATCH(H$11,'Ownerhsip %'!$C$5:$E$5,0))</f>
        <v>120000</v>
      </c>
      <c r="I18" s="8">
        <f>$F18*INDEX('Ownerhsip %'!$C$6:$E$20,MATCH($B18,'Ownerhsip %'!$B$6:$B$20,0),MATCH(I$11,'Ownerhsip %'!$C$5:$E$5,0))</f>
        <v>0</v>
      </c>
    </row>
    <row r="19" spans="1:9" x14ac:dyDescent="0.25">
      <c r="A19" t="s">
        <v>7</v>
      </c>
      <c r="B19" s="3" t="s">
        <v>28</v>
      </c>
      <c r="C19" s="9">
        <f>INDEX('Ownerhsip %'!$C$6:$E$20,MATCH('Quarterly Input Tab'!$B19,'Ownerhsip %'!$B$6:$B$20,0),MATCH('Quarterly Input Tab'!C$11,'Ownerhsip %'!$C$5:$E$5,0))</f>
        <v>0</v>
      </c>
      <c r="D19" s="9">
        <f>INDEX('Ownerhsip %'!$C$6:$E$20,MATCH('Quarterly Input Tab'!$B19,'Ownerhsip %'!$B$6:$B$20,0),MATCH('Quarterly Input Tab'!D$11,'Ownerhsip %'!$C$5:$E$5,0))</f>
        <v>1</v>
      </c>
      <c r="E19" s="9">
        <f>INDEX('Ownerhsip %'!$C$6:$E$20,MATCH('Quarterly Input Tab'!$B19,'Ownerhsip %'!$B$6:$B$20,0),MATCH('Quarterly Input Tab'!E$11,'Ownerhsip %'!$C$5:$E$5,0))</f>
        <v>0</v>
      </c>
      <c r="F19" s="16">
        <v>95000</v>
      </c>
      <c r="G19" s="8">
        <f>$F19*INDEX('Ownerhsip %'!$C$6:$E$20,MATCH($B19,'Ownerhsip %'!$B$6:$B$20,0),MATCH(G$11,'Ownerhsip %'!$C$5:$E$5,0))</f>
        <v>0</v>
      </c>
      <c r="H19" s="8">
        <f>$F19*INDEX('Ownerhsip %'!$C$6:$E$20,MATCH($B19,'Ownerhsip %'!$B$6:$B$20,0),MATCH(H$11,'Ownerhsip %'!$C$5:$E$5,0))</f>
        <v>95000</v>
      </c>
      <c r="I19" s="8">
        <f>$F19*INDEX('Ownerhsip %'!$C$6:$E$20,MATCH($B19,'Ownerhsip %'!$B$6:$B$20,0),MATCH(I$11,'Ownerhsip %'!$C$5:$E$5,0))</f>
        <v>0</v>
      </c>
    </row>
    <row r="20" spans="1:9" x14ac:dyDescent="0.25">
      <c r="A20" t="s">
        <v>7</v>
      </c>
      <c r="B20" s="3" t="s">
        <v>29</v>
      </c>
      <c r="C20" s="9">
        <f>INDEX('Ownerhsip %'!$C$6:$E$20,MATCH('Quarterly Input Tab'!$B20,'Ownerhsip %'!$B$6:$B$20,0),MATCH('Quarterly Input Tab'!C$11,'Ownerhsip %'!$C$5:$E$5,0))</f>
        <v>0</v>
      </c>
      <c r="D20" s="9">
        <f>INDEX('Ownerhsip %'!$C$6:$E$20,MATCH('Quarterly Input Tab'!$B20,'Ownerhsip %'!$B$6:$B$20,0),MATCH('Quarterly Input Tab'!D$11,'Ownerhsip %'!$C$5:$E$5,0))</f>
        <v>1</v>
      </c>
      <c r="E20" s="9">
        <f>INDEX('Ownerhsip %'!$C$6:$E$20,MATCH('Quarterly Input Tab'!$B20,'Ownerhsip %'!$B$6:$B$20,0),MATCH('Quarterly Input Tab'!E$11,'Ownerhsip %'!$C$5:$E$5,0))</f>
        <v>0</v>
      </c>
      <c r="F20" s="16">
        <v>4669566</v>
      </c>
      <c r="G20" s="8">
        <f>$F20*INDEX('Ownerhsip %'!$C$6:$E$20,MATCH($B20,'Ownerhsip %'!$B$6:$B$20,0),MATCH(G$11,'Ownerhsip %'!$C$5:$E$5,0))</f>
        <v>0</v>
      </c>
      <c r="H20" s="8">
        <f>$F20*INDEX('Ownerhsip %'!$C$6:$E$20,MATCH($B20,'Ownerhsip %'!$B$6:$B$20,0),MATCH(H$11,'Ownerhsip %'!$C$5:$E$5,0))</f>
        <v>4669566</v>
      </c>
      <c r="I20" s="8">
        <f>$F20*INDEX('Ownerhsip %'!$C$6:$E$20,MATCH($B20,'Ownerhsip %'!$B$6:$B$20,0),MATCH(I$11,'Ownerhsip %'!$C$5:$E$5,0))</f>
        <v>0</v>
      </c>
    </row>
    <row r="21" spans="1:9" x14ac:dyDescent="0.25">
      <c r="A21" t="s">
        <v>7</v>
      </c>
      <c r="B21" s="3" t="s">
        <v>30</v>
      </c>
      <c r="C21" s="9">
        <f>INDEX('Ownerhsip %'!$C$6:$E$20,MATCH('Quarterly Input Tab'!$B21,'Ownerhsip %'!$B$6:$B$20,0),MATCH('Quarterly Input Tab'!C$11,'Ownerhsip %'!$C$5:$E$5,0))</f>
        <v>0</v>
      </c>
      <c r="D21" s="9">
        <f>INDEX('Ownerhsip %'!$C$6:$E$20,MATCH('Quarterly Input Tab'!$B21,'Ownerhsip %'!$B$6:$B$20,0),MATCH('Quarterly Input Tab'!D$11,'Ownerhsip %'!$C$5:$E$5,0))</f>
        <v>1</v>
      </c>
      <c r="E21" s="9">
        <f>INDEX('Ownerhsip %'!$C$6:$E$20,MATCH('Quarterly Input Tab'!$B21,'Ownerhsip %'!$B$6:$B$20,0),MATCH('Quarterly Input Tab'!E$11,'Ownerhsip %'!$C$5:$E$5,0))</f>
        <v>0</v>
      </c>
      <c r="F21" s="16">
        <v>4748844</v>
      </c>
      <c r="G21" s="8">
        <f>$F21*INDEX('Ownerhsip %'!$C$6:$E$20,MATCH($B21,'Ownerhsip %'!$B$6:$B$20,0),MATCH(G$11,'Ownerhsip %'!$C$5:$E$5,0))</f>
        <v>0</v>
      </c>
      <c r="H21" s="8">
        <f>$F21*INDEX('Ownerhsip %'!$C$6:$E$20,MATCH($B21,'Ownerhsip %'!$B$6:$B$20,0),MATCH(H$11,'Ownerhsip %'!$C$5:$E$5,0))</f>
        <v>4748844</v>
      </c>
      <c r="I21" s="8">
        <f>$F21*INDEX('Ownerhsip %'!$C$6:$E$20,MATCH($B21,'Ownerhsip %'!$B$6:$B$20,0),MATCH(I$11,'Ownerhsip %'!$C$5:$E$5,0))</f>
        <v>0</v>
      </c>
    </row>
    <row r="22" spans="1:9" x14ac:dyDescent="0.25">
      <c r="A22" t="s">
        <v>7</v>
      </c>
      <c r="B22" s="3" t="s">
        <v>31</v>
      </c>
      <c r="C22" s="9">
        <f>INDEX('Ownerhsip %'!$C$6:$E$20,MATCH('Quarterly Input Tab'!$B22,'Ownerhsip %'!$B$6:$B$20,0),MATCH('Quarterly Input Tab'!C$11,'Ownerhsip %'!$C$5:$E$5,0))</f>
        <v>0.5</v>
      </c>
      <c r="D22" s="9">
        <f>INDEX('Ownerhsip %'!$C$6:$E$20,MATCH('Quarterly Input Tab'!$B22,'Ownerhsip %'!$B$6:$B$20,0),MATCH('Quarterly Input Tab'!D$11,'Ownerhsip %'!$C$5:$E$5,0))</f>
        <v>0</v>
      </c>
      <c r="E22" s="9">
        <f>INDEX('Ownerhsip %'!$C$6:$E$20,MATCH('Quarterly Input Tab'!$B22,'Ownerhsip %'!$B$6:$B$20,0),MATCH('Quarterly Input Tab'!E$11,'Ownerhsip %'!$C$5:$E$5,0))</f>
        <v>0.5</v>
      </c>
      <c r="F22" s="16">
        <v>2323111</v>
      </c>
      <c r="G22" s="8">
        <f>$F22*INDEX('Ownerhsip %'!$C$6:$E$20,MATCH($B22,'Ownerhsip %'!$B$6:$B$20,0),MATCH(G$11,'Ownerhsip %'!$C$5:$E$5,0))</f>
        <v>1161555.5</v>
      </c>
      <c r="H22" s="8">
        <f>$F22*INDEX('Ownerhsip %'!$C$6:$E$20,MATCH($B22,'Ownerhsip %'!$B$6:$B$20,0),MATCH(H$11,'Ownerhsip %'!$C$5:$E$5,0))</f>
        <v>0</v>
      </c>
      <c r="I22" s="8">
        <f>$F22*INDEX('Ownerhsip %'!$C$6:$E$20,MATCH($B22,'Ownerhsip %'!$B$6:$B$20,0),MATCH(I$11,'Ownerhsip %'!$C$5:$E$5,0))</f>
        <v>1161555.5</v>
      </c>
    </row>
    <row r="23" spans="1:9" x14ac:dyDescent="0.25">
      <c r="A23" t="s">
        <v>7</v>
      </c>
      <c r="B23" s="3" t="s">
        <v>32</v>
      </c>
      <c r="C23" s="9">
        <f>INDEX('Ownerhsip %'!$C$6:$E$20,MATCH('Quarterly Input Tab'!$B23,'Ownerhsip %'!$B$6:$B$20,0),MATCH('Quarterly Input Tab'!C$11,'Ownerhsip %'!$C$5:$E$5,0))</f>
        <v>1</v>
      </c>
      <c r="D23" s="9">
        <f>INDEX('Ownerhsip %'!$C$6:$E$20,MATCH('Quarterly Input Tab'!$B23,'Ownerhsip %'!$B$6:$B$20,0),MATCH('Quarterly Input Tab'!D$11,'Ownerhsip %'!$C$5:$E$5,0))</f>
        <v>0</v>
      </c>
      <c r="E23" s="9">
        <f>INDEX('Ownerhsip %'!$C$6:$E$20,MATCH('Quarterly Input Tab'!$B23,'Ownerhsip %'!$B$6:$B$20,0),MATCH('Quarterly Input Tab'!E$11,'Ownerhsip %'!$C$5:$E$5,0))</f>
        <v>0</v>
      </c>
      <c r="F23" s="16">
        <v>674602</v>
      </c>
      <c r="G23" s="8">
        <f>$F23*INDEX('Ownerhsip %'!$C$6:$E$20,MATCH($B23,'Ownerhsip %'!$B$6:$B$20,0),MATCH(G$11,'Ownerhsip %'!$C$5:$E$5,0))</f>
        <v>674602</v>
      </c>
      <c r="H23" s="8">
        <f>$F23*INDEX('Ownerhsip %'!$C$6:$E$20,MATCH($B23,'Ownerhsip %'!$B$6:$B$20,0),MATCH(H$11,'Ownerhsip %'!$C$5:$E$5,0))</f>
        <v>0</v>
      </c>
      <c r="I23" s="8">
        <f>$F23*INDEX('Ownerhsip %'!$C$6:$E$20,MATCH($B23,'Ownerhsip %'!$B$6:$B$20,0),MATCH(I$11,'Ownerhsip %'!$C$5:$E$5,0))</f>
        <v>0</v>
      </c>
    </row>
    <row r="24" spans="1:9" x14ac:dyDescent="0.25">
      <c r="A24" t="s">
        <v>7</v>
      </c>
      <c r="B24" s="3" t="s">
        <v>33</v>
      </c>
      <c r="C24" s="9">
        <f>INDEX('Ownerhsip %'!$C$6:$E$20,MATCH('Quarterly Input Tab'!$B24,'Ownerhsip %'!$B$6:$B$20,0),MATCH('Quarterly Input Tab'!C$11,'Ownerhsip %'!$C$5:$E$5,0))</f>
        <v>1</v>
      </c>
      <c r="D24" s="9">
        <f>INDEX('Ownerhsip %'!$C$6:$E$20,MATCH('Quarterly Input Tab'!$B24,'Ownerhsip %'!$B$6:$B$20,0),MATCH('Quarterly Input Tab'!D$11,'Ownerhsip %'!$C$5:$E$5,0))</f>
        <v>0</v>
      </c>
      <c r="E24" s="9">
        <f>INDEX('Ownerhsip %'!$C$6:$E$20,MATCH('Quarterly Input Tab'!$B24,'Ownerhsip %'!$B$6:$B$20,0),MATCH('Quarterly Input Tab'!E$11,'Ownerhsip %'!$C$5:$E$5,0))</f>
        <v>0</v>
      </c>
      <c r="F24" s="16">
        <v>3540451</v>
      </c>
      <c r="G24" s="8">
        <f>$F24*INDEX('Ownerhsip %'!$C$6:$E$20,MATCH($B24,'Ownerhsip %'!$B$6:$B$20,0),MATCH(G$11,'Ownerhsip %'!$C$5:$E$5,0))</f>
        <v>3540451</v>
      </c>
      <c r="H24" s="8">
        <f>$F24*INDEX('Ownerhsip %'!$C$6:$E$20,MATCH($B24,'Ownerhsip %'!$B$6:$B$20,0),MATCH(H$11,'Ownerhsip %'!$C$5:$E$5,0))</f>
        <v>0</v>
      </c>
      <c r="I24" s="8">
        <f>$F24*INDEX('Ownerhsip %'!$C$6:$E$20,MATCH($B24,'Ownerhsip %'!$B$6:$B$20,0),MATCH(I$11,'Ownerhsip %'!$C$5:$E$5,0))</f>
        <v>0</v>
      </c>
    </row>
    <row r="25" spans="1:9" x14ac:dyDescent="0.25">
      <c r="A25" t="s">
        <v>7</v>
      </c>
      <c r="B25" s="3" t="s">
        <v>34</v>
      </c>
      <c r="C25" s="9">
        <f>INDEX('Ownerhsip %'!$C$6:$E$20,MATCH('Quarterly Input Tab'!$B25,'Ownerhsip %'!$B$6:$B$20,0),MATCH('Quarterly Input Tab'!C$11,'Ownerhsip %'!$C$5:$E$5,0))</f>
        <v>1</v>
      </c>
      <c r="D25" s="9">
        <f>INDEX('Ownerhsip %'!$C$6:$E$20,MATCH('Quarterly Input Tab'!$B25,'Ownerhsip %'!$B$6:$B$20,0),MATCH('Quarterly Input Tab'!D$11,'Ownerhsip %'!$C$5:$E$5,0))</f>
        <v>0</v>
      </c>
      <c r="E25" s="9">
        <f>INDEX('Ownerhsip %'!$C$6:$E$20,MATCH('Quarterly Input Tab'!$B25,'Ownerhsip %'!$B$6:$B$20,0),MATCH('Quarterly Input Tab'!E$11,'Ownerhsip %'!$C$5:$E$5,0))</f>
        <v>0</v>
      </c>
      <c r="F25" s="16">
        <v>5738949</v>
      </c>
      <c r="G25" s="8">
        <f>$F25*INDEX('Ownerhsip %'!$C$6:$E$20,MATCH($B25,'Ownerhsip %'!$B$6:$B$20,0),MATCH(G$11,'Ownerhsip %'!$C$5:$E$5,0))</f>
        <v>5738949</v>
      </c>
      <c r="H25" s="8">
        <f>$F25*INDEX('Ownerhsip %'!$C$6:$E$20,MATCH($B25,'Ownerhsip %'!$B$6:$B$20,0),MATCH(H$11,'Ownerhsip %'!$C$5:$E$5,0))</f>
        <v>0</v>
      </c>
      <c r="I25" s="8">
        <f>$F25*INDEX('Ownerhsip %'!$C$6:$E$20,MATCH($B25,'Ownerhsip %'!$B$6:$B$20,0),MATCH(I$11,'Ownerhsip %'!$C$5:$E$5,0))</f>
        <v>0</v>
      </c>
    </row>
    <row r="26" spans="1:9" x14ac:dyDescent="0.25">
      <c r="A26" t="s">
        <v>7</v>
      </c>
      <c r="B26" s="3" t="s">
        <v>35</v>
      </c>
      <c r="C26" s="9">
        <f>INDEX('Ownerhsip %'!$C$6:$E$20,MATCH('Quarterly Input Tab'!$B26,'Ownerhsip %'!$B$6:$B$20,0),MATCH('Quarterly Input Tab'!C$11,'Ownerhsip %'!$C$5:$E$5,0))</f>
        <v>0</v>
      </c>
      <c r="D26" s="9">
        <f>INDEX('Ownerhsip %'!$C$6:$E$20,MATCH('Quarterly Input Tab'!$B26,'Ownerhsip %'!$B$6:$B$20,0),MATCH('Quarterly Input Tab'!D$11,'Ownerhsip %'!$C$5:$E$5,0))</f>
        <v>0</v>
      </c>
      <c r="E26" s="9">
        <f>INDEX('Ownerhsip %'!$C$6:$E$20,MATCH('Quarterly Input Tab'!$B26,'Ownerhsip %'!$B$6:$B$20,0),MATCH('Quarterly Input Tab'!E$11,'Ownerhsip %'!$C$5:$E$5,0))</f>
        <v>1</v>
      </c>
      <c r="F26" s="16">
        <v>3097469</v>
      </c>
      <c r="G26" s="8">
        <f>$F26*INDEX('Ownerhsip %'!$C$6:$E$20,MATCH($B26,'Ownerhsip %'!$B$6:$B$20,0),MATCH(G$11,'Ownerhsip %'!$C$5:$E$5,0))</f>
        <v>0</v>
      </c>
      <c r="H26" s="8">
        <f>$F26*INDEX('Ownerhsip %'!$C$6:$E$20,MATCH($B26,'Ownerhsip %'!$B$6:$B$20,0),MATCH(H$11,'Ownerhsip %'!$C$5:$E$5,0))</f>
        <v>0</v>
      </c>
      <c r="I26" s="8">
        <f>$F26*INDEX('Ownerhsip %'!$C$6:$E$20,MATCH($B26,'Ownerhsip %'!$B$6:$B$20,0),MATCH(I$11,'Ownerhsip %'!$C$5:$E$5,0))</f>
        <v>3097469</v>
      </c>
    </row>
    <row r="27" spans="1:9" x14ac:dyDescent="0.25">
      <c r="A27" t="s">
        <v>69</v>
      </c>
    </row>
    <row r="31" spans="1:9" x14ac:dyDescent="0.25">
      <c r="A31" t="s">
        <v>67</v>
      </c>
    </row>
    <row r="32" spans="1:9" x14ac:dyDescent="0.25">
      <c r="A32" t="s">
        <v>68</v>
      </c>
      <c r="B32" s="2" t="s">
        <v>5</v>
      </c>
      <c r="C32" s="2" t="s">
        <v>19</v>
      </c>
      <c r="D32" s="2" t="s">
        <v>20</v>
      </c>
      <c r="E32" s="2" t="s">
        <v>21</v>
      </c>
      <c r="F32" s="15" t="s">
        <v>38</v>
      </c>
      <c r="G32" s="2" t="s">
        <v>19</v>
      </c>
      <c r="H32" s="2" t="s">
        <v>20</v>
      </c>
      <c r="I32" s="2" t="s">
        <v>21</v>
      </c>
    </row>
    <row r="33" spans="2:9" x14ac:dyDescent="0.25">
      <c r="B33" s="3" t="s">
        <v>18</v>
      </c>
      <c r="C33" s="9">
        <f>INDEX('Ownerhsip %'!$C$6:$E$20,MATCH('Quarterly Input Tab'!$B33,'Ownerhsip %'!$B$6:$B$20,0),MATCH('Quarterly Input Tab'!C$11,'Ownerhsip %'!$C$5:$E$5,0))</f>
        <v>0.5</v>
      </c>
      <c r="D33" s="9">
        <f>INDEX('Ownerhsip %'!$C$6:$E$20,MATCH('Quarterly Input Tab'!$B33,'Ownerhsip %'!$B$6:$B$20,0),MATCH('Quarterly Input Tab'!D$11,'Ownerhsip %'!$C$5:$E$5,0))</f>
        <v>0.5</v>
      </c>
      <c r="E33" s="9">
        <f>INDEX('Ownerhsip %'!$C$6:$E$20,MATCH('Quarterly Input Tab'!$B33,'Ownerhsip %'!$B$6:$B$20,0),MATCH('Quarterly Input Tab'!E$11,'Ownerhsip %'!$C$5:$E$5,0))</f>
        <v>0</v>
      </c>
      <c r="F33" s="16">
        <v>1000000</v>
      </c>
      <c r="G33" s="8">
        <f>$F33*INDEX('Ownerhsip %'!$C$6:$E$20,MATCH($B33,'Ownerhsip %'!$B$6:$B$20,0),MATCH(G$11,'Ownerhsip %'!$C$5:$E$5,0))</f>
        <v>500000</v>
      </c>
      <c r="H33" s="8">
        <f>$F33*INDEX('Ownerhsip %'!$C$6:$E$20,MATCH($B33,'Ownerhsip %'!$B$6:$B$20,0),MATCH(H$11,'Ownerhsip %'!$C$5:$E$5,0))</f>
        <v>500000</v>
      </c>
      <c r="I33" s="8">
        <f>$F33*INDEX('Ownerhsip %'!$C$6:$E$20,MATCH($B33,'Ownerhsip %'!$B$6:$B$20,0),MATCH(I$11,'Ownerhsip %'!$C$5:$E$5,0))</f>
        <v>0</v>
      </c>
    </row>
    <row r="34" spans="2:9" x14ac:dyDescent="0.25">
      <c r="B34" s="3" t="s">
        <v>22</v>
      </c>
      <c r="C34" s="9">
        <f>INDEX('Ownerhsip %'!$C$6:$E$20,MATCH('Quarterly Input Tab'!$B34,'Ownerhsip %'!$B$6:$B$20,0),MATCH('Quarterly Input Tab'!C$11,'Ownerhsip %'!$C$5:$E$5,0))</f>
        <v>1</v>
      </c>
      <c r="D34" s="9">
        <f>INDEX('Ownerhsip %'!$C$6:$E$20,MATCH('Quarterly Input Tab'!$B34,'Ownerhsip %'!$B$6:$B$20,0),MATCH('Quarterly Input Tab'!D$11,'Ownerhsip %'!$C$5:$E$5,0))</f>
        <v>0</v>
      </c>
      <c r="E34" s="9">
        <f>INDEX('Ownerhsip %'!$C$6:$E$20,MATCH('Quarterly Input Tab'!$B34,'Ownerhsip %'!$B$6:$B$20,0),MATCH('Quarterly Input Tab'!E$11,'Ownerhsip %'!$C$5:$E$5,0))</f>
        <v>0</v>
      </c>
      <c r="F34" s="16">
        <v>200000</v>
      </c>
      <c r="G34" s="8">
        <f>$F34*INDEX('Ownerhsip %'!$C$6:$E$20,MATCH($B34,'Ownerhsip %'!$B$6:$B$20,0),MATCH(G$11,'Ownerhsip %'!$C$5:$E$5,0))</f>
        <v>200000</v>
      </c>
      <c r="H34" s="8">
        <f>$F34*INDEX('Ownerhsip %'!$C$6:$E$20,MATCH($B34,'Ownerhsip %'!$B$6:$B$20,0),MATCH(H$11,'Ownerhsip %'!$C$5:$E$5,0))</f>
        <v>0</v>
      </c>
      <c r="I34" s="8">
        <f>$F34*INDEX('Ownerhsip %'!$C$6:$E$20,MATCH($B34,'Ownerhsip %'!$B$6:$B$20,0),MATCH(I$11,'Ownerhsip %'!$C$5:$E$5,0))</f>
        <v>0</v>
      </c>
    </row>
    <row r="35" spans="2:9" x14ac:dyDescent="0.25">
      <c r="B35" s="3" t="s">
        <v>23</v>
      </c>
      <c r="C35" s="9">
        <f>INDEX('Ownerhsip %'!$C$6:$E$20,MATCH('Quarterly Input Tab'!$B35,'Ownerhsip %'!$B$6:$B$20,0),MATCH('Quarterly Input Tab'!C$11,'Ownerhsip %'!$C$5:$E$5,0))</f>
        <v>1</v>
      </c>
      <c r="D35" s="9">
        <f>INDEX('Ownerhsip %'!$C$6:$E$20,MATCH('Quarterly Input Tab'!$B35,'Ownerhsip %'!$B$6:$B$20,0),MATCH('Quarterly Input Tab'!D$11,'Ownerhsip %'!$C$5:$E$5,0))</f>
        <v>0</v>
      </c>
      <c r="E35" s="9">
        <f>INDEX('Ownerhsip %'!$C$6:$E$20,MATCH('Quarterly Input Tab'!$B35,'Ownerhsip %'!$B$6:$B$20,0),MATCH('Quarterly Input Tab'!E$11,'Ownerhsip %'!$C$5:$E$5,0))</f>
        <v>0</v>
      </c>
      <c r="F35" s="16">
        <v>350000</v>
      </c>
      <c r="G35" s="8">
        <f>$F35*INDEX('Ownerhsip %'!$C$6:$E$20,MATCH($B35,'Ownerhsip %'!$B$6:$B$20,0),MATCH(G$11,'Ownerhsip %'!$C$5:$E$5,0))</f>
        <v>350000</v>
      </c>
      <c r="H35" s="8">
        <f>$F35*INDEX('Ownerhsip %'!$C$6:$E$20,MATCH($B35,'Ownerhsip %'!$B$6:$B$20,0),MATCH(H$11,'Ownerhsip %'!$C$5:$E$5,0))</f>
        <v>0</v>
      </c>
      <c r="I35" s="8">
        <f>$F35*INDEX('Ownerhsip %'!$C$6:$E$20,MATCH($B35,'Ownerhsip %'!$B$6:$B$20,0),MATCH(I$11,'Ownerhsip %'!$C$5:$E$5,0))</f>
        <v>0</v>
      </c>
    </row>
    <row r="36" spans="2:9" x14ac:dyDescent="0.25">
      <c r="B36" s="3" t="s">
        <v>24</v>
      </c>
      <c r="C36" s="9">
        <f>INDEX('Ownerhsip %'!$C$6:$E$20,MATCH('Quarterly Input Tab'!$B36,'Ownerhsip %'!$B$6:$B$20,0),MATCH('Quarterly Input Tab'!C$11,'Ownerhsip %'!$C$5:$E$5,0))</f>
        <v>0</v>
      </c>
      <c r="D36" s="9">
        <f>INDEX('Ownerhsip %'!$C$6:$E$20,MATCH('Quarterly Input Tab'!$B36,'Ownerhsip %'!$B$6:$B$20,0),MATCH('Quarterly Input Tab'!D$11,'Ownerhsip %'!$C$5:$E$5,0))</f>
        <v>0.75</v>
      </c>
      <c r="E36" s="9">
        <f>INDEX('Ownerhsip %'!$C$6:$E$20,MATCH('Quarterly Input Tab'!$B36,'Ownerhsip %'!$B$6:$B$20,0),MATCH('Quarterly Input Tab'!E$11,'Ownerhsip %'!$C$5:$E$5,0))</f>
        <v>0.25</v>
      </c>
      <c r="F36" s="16">
        <v>985000</v>
      </c>
      <c r="G36" s="8">
        <f>$F36*INDEX('Ownerhsip %'!$C$6:$E$20,MATCH($B36,'Ownerhsip %'!$B$6:$B$20,0),MATCH(G$11,'Ownerhsip %'!$C$5:$E$5,0))</f>
        <v>0</v>
      </c>
      <c r="H36" s="8">
        <f>$F36*INDEX('Ownerhsip %'!$C$6:$E$20,MATCH($B36,'Ownerhsip %'!$B$6:$B$20,0),MATCH(H$11,'Ownerhsip %'!$C$5:$E$5,0))</f>
        <v>738750</v>
      </c>
      <c r="I36" s="8">
        <f>$F36*INDEX('Ownerhsip %'!$C$6:$E$20,MATCH($B36,'Ownerhsip %'!$B$6:$B$20,0),MATCH(I$11,'Ownerhsip %'!$C$5:$E$5,0))</f>
        <v>246250</v>
      </c>
    </row>
    <row r="37" spans="2:9" x14ac:dyDescent="0.25">
      <c r="B37" s="3" t="s">
        <v>25</v>
      </c>
      <c r="C37" s="9">
        <f>INDEX('Ownerhsip %'!$C$6:$E$20,MATCH('Quarterly Input Tab'!$B37,'Ownerhsip %'!$B$6:$B$20,0),MATCH('Quarterly Input Tab'!C$11,'Ownerhsip %'!$C$5:$E$5,0))</f>
        <v>0</v>
      </c>
      <c r="D37" s="9">
        <f>INDEX('Ownerhsip %'!$C$6:$E$20,MATCH('Quarterly Input Tab'!$B37,'Ownerhsip %'!$B$6:$B$20,0),MATCH('Quarterly Input Tab'!D$11,'Ownerhsip %'!$C$5:$E$5,0))</f>
        <v>0</v>
      </c>
      <c r="E37" s="9">
        <f>INDEX('Ownerhsip %'!$C$6:$E$20,MATCH('Quarterly Input Tab'!$B37,'Ownerhsip %'!$B$6:$B$20,0),MATCH('Quarterly Input Tab'!E$11,'Ownerhsip %'!$C$5:$E$5,0))</f>
        <v>1</v>
      </c>
      <c r="F37" s="16">
        <v>565000</v>
      </c>
      <c r="G37" s="8">
        <f>$F37*INDEX('Ownerhsip %'!$C$6:$E$20,MATCH($B37,'Ownerhsip %'!$B$6:$B$20,0),MATCH(G$11,'Ownerhsip %'!$C$5:$E$5,0))</f>
        <v>0</v>
      </c>
      <c r="H37" s="8">
        <f>$F37*INDEX('Ownerhsip %'!$C$6:$E$20,MATCH($B37,'Ownerhsip %'!$B$6:$B$20,0),MATCH(H$11,'Ownerhsip %'!$C$5:$E$5,0))</f>
        <v>0</v>
      </c>
      <c r="I37" s="8">
        <f>$F37*INDEX('Ownerhsip %'!$C$6:$E$20,MATCH($B37,'Ownerhsip %'!$B$6:$B$20,0),MATCH(I$11,'Ownerhsip %'!$C$5:$E$5,0))</f>
        <v>565000</v>
      </c>
    </row>
    <row r="38" spans="2:9" x14ac:dyDescent="0.25">
      <c r="B38" s="3" t="s">
        <v>26</v>
      </c>
      <c r="C38" s="9">
        <f>INDEX('Ownerhsip %'!$C$6:$E$20,MATCH('Quarterly Input Tab'!$B38,'Ownerhsip %'!$B$6:$B$20,0),MATCH('Quarterly Input Tab'!C$11,'Ownerhsip %'!$C$5:$E$5,0))</f>
        <v>0</v>
      </c>
      <c r="D38" s="9">
        <f>INDEX('Ownerhsip %'!$C$6:$E$20,MATCH('Quarterly Input Tab'!$B38,'Ownerhsip %'!$B$6:$B$20,0),MATCH('Quarterly Input Tab'!D$11,'Ownerhsip %'!$C$5:$E$5,0))</f>
        <v>0</v>
      </c>
      <c r="E38" s="9">
        <f>INDEX('Ownerhsip %'!$C$6:$E$20,MATCH('Quarterly Input Tab'!$B38,'Ownerhsip %'!$B$6:$B$20,0),MATCH('Quarterly Input Tab'!E$11,'Ownerhsip %'!$C$5:$E$5,0))</f>
        <v>1</v>
      </c>
      <c r="F38" s="16">
        <v>5500000</v>
      </c>
      <c r="G38" s="8">
        <f>$F38*INDEX('Ownerhsip %'!$C$6:$E$20,MATCH($B38,'Ownerhsip %'!$B$6:$B$20,0),MATCH(G$11,'Ownerhsip %'!$C$5:$E$5,0))</f>
        <v>0</v>
      </c>
      <c r="H38" s="8">
        <f>$F38*INDEX('Ownerhsip %'!$C$6:$E$20,MATCH($B38,'Ownerhsip %'!$B$6:$B$20,0),MATCH(H$11,'Ownerhsip %'!$C$5:$E$5,0))</f>
        <v>0</v>
      </c>
      <c r="I38" s="8">
        <f>$F38*INDEX('Ownerhsip %'!$C$6:$E$20,MATCH($B38,'Ownerhsip %'!$B$6:$B$20,0),MATCH(I$11,'Ownerhsip %'!$C$5:$E$5,0))</f>
        <v>5500000</v>
      </c>
    </row>
    <row r="39" spans="2:9" x14ac:dyDescent="0.25">
      <c r="B39" s="3" t="s">
        <v>27</v>
      </c>
      <c r="C39" s="9">
        <f>INDEX('Ownerhsip %'!$C$6:$E$20,MATCH('Quarterly Input Tab'!$B39,'Ownerhsip %'!$B$6:$B$20,0),MATCH('Quarterly Input Tab'!C$11,'Ownerhsip %'!$C$5:$E$5,0))</f>
        <v>0</v>
      </c>
      <c r="D39" s="9">
        <f>INDEX('Ownerhsip %'!$C$6:$E$20,MATCH('Quarterly Input Tab'!$B39,'Ownerhsip %'!$B$6:$B$20,0),MATCH('Quarterly Input Tab'!D$11,'Ownerhsip %'!$C$5:$E$5,0))</f>
        <v>1</v>
      </c>
      <c r="E39" s="9">
        <f>INDEX('Ownerhsip %'!$C$6:$E$20,MATCH('Quarterly Input Tab'!$B39,'Ownerhsip %'!$B$6:$B$20,0),MATCH('Quarterly Input Tab'!E$11,'Ownerhsip %'!$C$5:$E$5,0))</f>
        <v>0</v>
      </c>
      <c r="F39" s="16">
        <v>120000</v>
      </c>
      <c r="G39" s="8">
        <f>$F39*INDEX('Ownerhsip %'!$C$6:$E$20,MATCH($B39,'Ownerhsip %'!$B$6:$B$20,0),MATCH(G$11,'Ownerhsip %'!$C$5:$E$5,0))</f>
        <v>0</v>
      </c>
      <c r="H39" s="8">
        <f>$F39*INDEX('Ownerhsip %'!$C$6:$E$20,MATCH($B39,'Ownerhsip %'!$B$6:$B$20,0),MATCH(H$11,'Ownerhsip %'!$C$5:$E$5,0))</f>
        <v>120000</v>
      </c>
      <c r="I39" s="8">
        <f>$F39*INDEX('Ownerhsip %'!$C$6:$E$20,MATCH($B39,'Ownerhsip %'!$B$6:$B$20,0),MATCH(I$11,'Ownerhsip %'!$C$5:$E$5,0))</f>
        <v>0</v>
      </c>
    </row>
    <row r="40" spans="2:9" x14ac:dyDescent="0.25">
      <c r="B40" s="3" t="s">
        <v>28</v>
      </c>
      <c r="C40" s="9">
        <f>INDEX('Ownerhsip %'!$C$6:$E$20,MATCH('Quarterly Input Tab'!$B40,'Ownerhsip %'!$B$6:$B$20,0),MATCH('Quarterly Input Tab'!C$11,'Ownerhsip %'!$C$5:$E$5,0))</f>
        <v>0</v>
      </c>
      <c r="D40" s="9">
        <f>INDEX('Ownerhsip %'!$C$6:$E$20,MATCH('Quarterly Input Tab'!$B40,'Ownerhsip %'!$B$6:$B$20,0),MATCH('Quarterly Input Tab'!D$11,'Ownerhsip %'!$C$5:$E$5,0))</f>
        <v>1</v>
      </c>
      <c r="E40" s="9">
        <f>INDEX('Ownerhsip %'!$C$6:$E$20,MATCH('Quarterly Input Tab'!$B40,'Ownerhsip %'!$B$6:$B$20,0),MATCH('Quarterly Input Tab'!E$11,'Ownerhsip %'!$C$5:$E$5,0))</f>
        <v>0</v>
      </c>
      <c r="F40" s="16">
        <v>95000</v>
      </c>
      <c r="G40" s="8">
        <f>$F40*INDEX('Ownerhsip %'!$C$6:$E$20,MATCH($B40,'Ownerhsip %'!$B$6:$B$20,0),MATCH(G$11,'Ownerhsip %'!$C$5:$E$5,0))</f>
        <v>0</v>
      </c>
      <c r="H40" s="8">
        <f>$F40*INDEX('Ownerhsip %'!$C$6:$E$20,MATCH($B40,'Ownerhsip %'!$B$6:$B$20,0),MATCH(H$11,'Ownerhsip %'!$C$5:$E$5,0))</f>
        <v>95000</v>
      </c>
      <c r="I40" s="8">
        <f>$F40*INDEX('Ownerhsip %'!$C$6:$E$20,MATCH($B40,'Ownerhsip %'!$B$6:$B$20,0),MATCH(I$11,'Ownerhsip %'!$C$5:$E$5,0))</f>
        <v>0</v>
      </c>
    </row>
    <row r="41" spans="2:9" x14ac:dyDescent="0.25">
      <c r="B41" s="3" t="s">
        <v>29</v>
      </c>
      <c r="C41" s="9">
        <f>INDEX('Ownerhsip %'!$C$6:$E$20,MATCH('Quarterly Input Tab'!$B41,'Ownerhsip %'!$B$6:$B$20,0),MATCH('Quarterly Input Tab'!C$11,'Ownerhsip %'!$C$5:$E$5,0))</f>
        <v>0</v>
      </c>
      <c r="D41" s="9">
        <f>INDEX('Ownerhsip %'!$C$6:$E$20,MATCH('Quarterly Input Tab'!$B41,'Ownerhsip %'!$B$6:$B$20,0),MATCH('Quarterly Input Tab'!D$11,'Ownerhsip %'!$C$5:$E$5,0))</f>
        <v>1</v>
      </c>
      <c r="E41" s="9">
        <f>INDEX('Ownerhsip %'!$C$6:$E$20,MATCH('Quarterly Input Tab'!$B41,'Ownerhsip %'!$B$6:$B$20,0),MATCH('Quarterly Input Tab'!E$11,'Ownerhsip %'!$C$5:$E$5,0))</f>
        <v>0</v>
      </c>
      <c r="F41" s="16">
        <v>4669566</v>
      </c>
      <c r="G41" s="8">
        <f>$F41*INDEX('Ownerhsip %'!$C$6:$E$20,MATCH($B41,'Ownerhsip %'!$B$6:$B$20,0),MATCH(G$11,'Ownerhsip %'!$C$5:$E$5,0))</f>
        <v>0</v>
      </c>
      <c r="H41" s="8">
        <f>$F41*INDEX('Ownerhsip %'!$C$6:$E$20,MATCH($B41,'Ownerhsip %'!$B$6:$B$20,0),MATCH(H$11,'Ownerhsip %'!$C$5:$E$5,0))</f>
        <v>4669566</v>
      </c>
      <c r="I41" s="8">
        <f>$F41*INDEX('Ownerhsip %'!$C$6:$E$20,MATCH($B41,'Ownerhsip %'!$B$6:$B$20,0),MATCH(I$11,'Ownerhsip %'!$C$5:$E$5,0))</f>
        <v>0</v>
      </c>
    </row>
    <row r="42" spans="2:9" x14ac:dyDescent="0.25">
      <c r="B42" s="3" t="s">
        <v>30</v>
      </c>
      <c r="C42" s="9">
        <f>INDEX('Ownerhsip %'!$C$6:$E$20,MATCH('Quarterly Input Tab'!$B42,'Ownerhsip %'!$B$6:$B$20,0),MATCH('Quarterly Input Tab'!C$11,'Ownerhsip %'!$C$5:$E$5,0))</f>
        <v>0</v>
      </c>
      <c r="D42" s="9">
        <f>INDEX('Ownerhsip %'!$C$6:$E$20,MATCH('Quarterly Input Tab'!$B42,'Ownerhsip %'!$B$6:$B$20,0),MATCH('Quarterly Input Tab'!D$11,'Ownerhsip %'!$C$5:$E$5,0))</f>
        <v>1</v>
      </c>
      <c r="E42" s="9">
        <f>INDEX('Ownerhsip %'!$C$6:$E$20,MATCH('Quarterly Input Tab'!$B42,'Ownerhsip %'!$B$6:$B$20,0),MATCH('Quarterly Input Tab'!E$11,'Ownerhsip %'!$C$5:$E$5,0))</f>
        <v>0</v>
      </c>
      <c r="F42" s="16">
        <v>4748844</v>
      </c>
      <c r="G42" s="8">
        <f>$F42*INDEX('Ownerhsip %'!$C$6:$E$20,MATCH($B42,'Ownerhsip %'!$B$6:$B$20,0),MATCH(G$11,'Ownerhsip %'!$C$5:$E$5,0))</f>
        <v>0</v>
      </c>
      <c r="H42" s="8">
        <f>$F42*INDEX('Ownerhsip %'!$C$6:$E$20,MATCH($B42,'Ownerhsip %'!$B$6:$B$20,0),MATCH(H$11,'Ownerhsip %'!$C$5:$E$5,0))</f>
        <v>4748844</v>
      </c>
      <c r="I42" s="8">
        <f>$F42*INDEX('Ownerhsip %'!$C$6:$E$20,MATCH($B42,'Ownerhsip %'!$B$6:$B$20,0),MATCH(I$11,'Ownerhsip %'!$C$5:$E$5,0))</f>
        <v>0</v>
      </c>
    </row>
    <row r="43" spans="2:9" x14ac:dyDescent="0.25">
      <c r="B43" s="3" t="s">
        <v>31</v>
      </c>
      <c r="C43" s="9">
        <f>INDEX('Ownerhsip %'!$C$6:$E$20,MATCH('Quarterly Input Tab'!$B43,'Ownerhsip %'!$B$6:$B$20,0),MATCH('Quarterly Input Tab'!C$11,'Ownerhsip %'!$C$5:$E$5,0))</f>
        <v>0.5</v>
      </c>
      <c r="D43" s="9">
        <f>INDEX('Ownerhsip %'!$C$6:$E$20,MATCH('Quarterly Input Tab'!$B43,'Ownerhsip %'!$B$6:$B$20,0),MATCH('Quarterly Input Tab'!D$11,'Ownerhsip %'!$C$5:$E$5,0))</f>
        <v>0</v>
      </c>
      <c r="E43" s="9">
        <f>INDEX('Ownerhsip %'!$C$6:$E$20,MATCH('Quarterly Input Tab'!$B43,'Ownerhsip %'!$B$6:$B$20,0),MATCH('Quarterly Input Tab'!E$11,'Ownerhsip %'!$C$5:$E$5,0))</f>
        <v>0.5</v>
      </c>
      <c r="F43" s="16">
        <v>2323111</v>
      </c>
      <c r="G43" s="8">
        <f>$F43*INDEX('Ownerhsip %'!$C$6:$E$20,MATCH($B43,'Ownerhsip %'!$B$6:$B$20,0),MATCH(G$11,'Ownerhsip %'!$C$5:$E$5,0))</f>
        <v>1161555.5</v>
      </c>
      <c r="H43" s="8">
        <f>$F43*INDEX('Ownerhsip %'!$C$6:$E$20,MATCH($B43,'Ownerhsip %'!$B$6:$B$20,0),MATCH(H$11,'Ownerhsip %'!$C$5:$E$5,0))</f>
        <v>0</v>
      </c>
      <c r="I43" s="8">
        <f>$F43*INDEX('Ownerhsip %'!$C$6:$E$20,MATCH($B43,'Ownerhsip %'!$B$6:$B$20,0),MATCH(I$11,'Ownerhsip %'!$C$5:$E$5,0))</f>
        <v>1161555.5</v>
      </c>
    </row>
    <row r="44" spans="2:9" x14ac:dyDescent="0.25">
      <c r="B44" s="3" t="s">
        <v>32</v>
      </c>
      <c r="C44" s="9">
        <f>INDEX('Ownerhsip %'!$C$6:$E$20,MATCH('Quarterly Input Tab'!$B44,'Ownerhsip %'!$B$6:$B$20,0),MATCH('Quarterly Input Tab'!C$11,'Ownerhsip %'!$C$5:$E$5,0))</f>
        <v>1</v>
      </c>
      <c r="D44" s="9">
        <f>INDEX('Ownerhsip %'!$C$6:$E$20,MATCH('Quarterly Input Tab'!$B44,'Ownerhsip %'!$B$6:$B$20,0),MATCH('Quarterly Input Tab'!D$11,'Ownerhsip %'!$C$5:$E$5,0))</f>
        <v>0</v>
      </c>
      <c r="E44" s="9">
        <f>INDEX('Ownerhsip %'!$C$6:$E$20,MATCH('Quarterly Input Tab'!$B44,'Ownerhsip %'!$B$6:$B$20,0),MATCH('Quarterly Input Tab'!E$11,'Ownerhsip %'!$C$5:$E$5,0))</f>
        <v>0</v>
      </c>
      <c r="F44" s="16">
        <v>674602</v>
      </c>
      <c r="G44" s="8">
        <f>$F44*INDEX('Ownerhsip %'!$C$6:$E$20,MATCH($B44,'Ownerhsip %'!$B$6:$B$20,0),MATCH(G$11,'Ownerhsip %'!$C$5:$E$5,0))</f>
        <v>674602</v>
      </c>
      <c r="H44" s="8">
        <f>$F44*INDEX('Ownerhsip %'!$C$6:$E$20,MATCH($B44,'Ownerhsip %'!$B$6:$B$20,0),MATCH(H$11,'Ownerhsip %'!$C$5:$E$5,0))</f>
        <v>0</v>
      </c>
      <c r="I44" s="8">
        <f>$F44*INDEX('Ownerhsip %'!$C$6:$E$20,MATCH($B44,'Ownerhsip %'!$B$6:$B$20,0),MATCH(I$11,'Ownerhsip %'!$C$5:$E$5,0))</f>
        <v>0</v>
      </c>
    </row>
    <row r="45" spans="2:9" x14ac:dyDescent="0.25">
      <c r="B45" s="3" t="s">
        <v>33</v>
      </c>
      <c r="C45" s="9">
        <f>INDEX('Ownerhsip %'!$C$6:$E$20,MATCH('Quarterly Input Tab'!$B45,'Ownerhsip %'!$B$6:$B$20,0),MATCH('Quarterly Input Tab'!C$11,'Ownerhsip %'!$C$5:$E$5,0))</f>
        <v>1</v>
      </c>
      <c r="D45" s="9">
        <f>INDEX('Ownerhsip %'!$C$6:$E$20,MATCH('Quarterly Input Tab'!$B45,'Ownerhsip %'!$B$6:$B$20,0),MATCH('Quarterly Input Tab'!D$11,'Ownerhsip %'!$C$5:$E$5,0))</f>
        <v>0</v>
      </c>
      <c r="E45" s="9">
        <f>INDEX('Ownerhsip %'!$C$6:$E$20,MATCH('Quarterly Input Tab'!$B45,'Ownerhsip %'!$B$6:$B$20,0),MATCH('Quarterly Input Tab'!E$11,'Ownerhsip %'!$C$5:$E$5,0))</f>
        <v>0</v>
      </c>
      <c r="F45" s="16">
        <v>3540451</v>
      </c>
      <c r="G45" s="8">
        <f>$F45*INDEX('Ownerhsip %'!$C$6:$E$20,MATCH($B45,'Ownerhsip %'!$B$6:$B$20,0),MATCH(G$11,'Ownerhsip %'!$C$5:$E$5,0))</f>
        <v>3540451</v>
      </c>
      <c r="H45" s="8">
        <f>$F45*INDEX('Ownerhsip %'!$C$6:$E$20,MATCH($B45,'Ownerhsip %'!$B$6:$B$20,0),MATCH(H$11,'Ownerhsip %'!$C$5:$E$5,0))</f>
        <v>0</v>
      </c>
      <c r="I45" s="8">
        <f>$F45*INDEX('Ownerhsip %'!$C$6:$E$20,MATCH($B45,'Ownerhsip %'!$B$6:$B$20,0),MATCH(I$11,'Ownerhsip %'!$C$5:$E$5,0))</f>
        <v>0</v>
      </c>
    </row>
    <row r="46" spans="2:9" x14ac:dyDescent="0.25">
      <c r="B46" s="3" t="s">
        <v>34</v>
      </c>
      <c r="C46" s="9">
        <f>INDEX('Ownerhsip %'!$C$6:$E$20,MATCH('Quarterly Input Tab'!$B46,'Ownerhsip %'!$B$6:$B$20,0),MATCH('Quarterly Input Tab'!C$11,'Ownerhsip %'!$C$5:$E$5,0))</f>
        <v>1</v>
      </c>
      <c r="D46" s="9">
        <f>INDEX('Ownerhsip %'!$C$6:$E$20,MATCH('Quarterly Input Tab'!$B46,'Ownerhsip %'!$B$6:$B$20,0),MATCH('Quarterly Input Tab'!D$11,'Ownerhsip %'!$C$5:$E$5,0))</f>
        <v>0</v>
      </c>
      <c r="E46" s="9">
        <f>INDEX('Ownerhsip %'!$C$6:$E$20,MATCH('Quarterly Input Tab'!$B46,'Ownerhsip %'!$B$6:$B$20,0),MATCH('Quarterly Input Tab'!E$11,'Ownerhsip %'!$C$5:$E$5,0))</f>
        <v>0</v>
      </c>
      <c r="F46" s="16">
        <v>5738949</v>
      </c>
      <c r="G46" s="8">
        <f>$F46*INDEX('Ownerhsip %'!$C$6:$E$20,MATCH($B46,'Ownerhsip %'!$B$6:$B$20,0),MATCH(G$11,'Ownerhsip %'!$C$5:$E$5,0))</f>
        <v>5738949</v>
      </c>
      <c r="H46" s="8">
        <f>$F46*INDEX('Ownerhsip %'!$C$6:$E$20,MATCH($B46,'Ownerhsip %'!$B$6:$B$20,0),MATCH(H$11,'Ownerhsip %'!$C$5:$E$5,0))</f>
        <v>0</v>
      </c>
      <c r="I46" s="8">
        <f>$F46*INDEX('Ownerhsip %'!$C$6:$E$20,MATCH($B46,'Ownerhsip %'!$B$6:$B$20,0),MATCH(I$11,'Ownerhsip %'!$C$5:$E$5,0))</f>
        <v>0</v>
      </c>
    </row>
    <row r="47" spans="2:9" x14ac:dyDescent="0.25">
      <c r="B47" s="3" t="s">
        <v>35</v>
      </c>
      <c r="C47" s="9">
        <f>INDEX('Ownerhsip %'!$C$6:$E$20,MATCH('Quarterly Input Tab'!$B47,'Ownerhsip %'!$B$6:$B$20,0),MATCH('Quarterly Input Tab'!C$11,'Ownerhsip %'!$C$5:$E$5,0))</f>
        <v>0</v>
      </c>
      <c r="D47" s="9">
        <f>INDEX('Ownerhsip %'!$C$6:$E$20,MATCH('Quarterly Input Tab'!$B47,'Ownerhsip %'!$B$6:$B$20,0),MATCH('Quarterly Input Tab'!D$11,'Ownerhsip %'!$C$5:$E$5,0))</f>
        <v>0</v>
      </c>
      <c r="E47" s="9">
        <f>INDEX('Ownerhsip %'!$C$6:$E$20,MATCH('Quarterly Input Tab'!$B47,'Ownerhsip %'!$B$6:$B$20,0),MATCH('Quarterly Input Tab'!E$11,'Ownerhsip %'!$C$5:$E$5,0))</f>
        <v>1</v>
      </c>
      <c r="F47" s="16">
        <v>3097469</v>
      </c>
      <c r="G47" s="8">
        <f>$F47*INDEX('Ownerhsip %'!$C$6:$E$20,MATCH($B47,'Ownerhsip %'!$B$6:$B$20,0),MATCH(G$11,'Ownerhsip %'!$C$5:$E$5,0))</f>
        <v>0</v>
      </c>
      <c r="H47" s="8">
        <f>$F47*INDEX('Ownerhsip %'!$C$6:$E$20,MATCH($B47,'Ownerhsip %'!$B$6:$B$20,0),MATCH(H$11,'Ownerhsip %'!$C$5:$E$5,0))</f>
        <v>0</v>
      </c>
      <c r="I47" s="8">
        <f>$F47*INDEX('Ownerhsip %'!$C$6:$E$20,MATCH($B47,'Ownerhsip %'!$B$6:$B$20,0),MATCH(I$11,'Ownerhsip %'!$C$5:$E$5,0))</f>
        <v>3097469</v>
      </c>
    </row>
  </sheetData>
  <mergeCells count="2">
    <mergeCell ref="C10:E10"/>
    <mergeCell ref="G10:I10"/>
  </mergeCells>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B91B-535B-45B9-A973-5A1C17FC2FAF}">
  <dimension ref="A1"/>
  <sheetViews>
    <sheetView showGridLines="0" workbookViewId="0">
      <selection activeCell="P56" sqref="P56"/>
    </sheetView>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20"/>
  <sheetViews>
    <sheetView showGridLines="0" workbookViewId="0">
      <selection activeCell="C6" sqref="C6"/>
    </sheetView>
  </sheetViews>
  <sheetFormatPr defaultRowHeight="15" x14ac:dyDescent="0.25"/>
  <cols>
    <col min="2" max="2" width="17" bestFit="1" customWidth="1"/>
    <col min="3" max="3" width="8.7109375" bestFit="1" customWidth="1"/>
    <col min="4" max="5" width="8.140625" bestFit="1" customWidth="1"/>
  </cols>
  <sheetData>
    <row r="2" spans="2:5" x14ac:dyDescent="0.25">
      <c r="B2" s="5" t="s">
        <v>36</v>
      </c>
    </row>
    <row r="3" spans="2:5" x14ac:dyDescent="0.25">
      <c r="B3" s="5"/>
    </row>
    <row r="4" spans="2:5" x14ac:dyDescent="0.25">
      <c r="C4" t="s">
        <v>17</v>
      </c>
    </row>
    <row r="5" spans="2:5" x14ac:dyDescent="0.25">
      <c r="B5" s="3" t="s">
        <v>14</v>
      </c>
      <c r="C5" s="3" t="s">
        <v>19</v>
      </c>
      <c r="D5" s="3" t="s">
        <v>20</v>
      </c>
      <c r="E5" s="3" t="s">
        <v>21</v>
      </c>
    </row>
    <row r="6" spans="2:5" x14ac:dyDescent="0.25">
      <c r="B6" s="3" t="s">
        <v>18</v>
      </c>
      <c r="C6" s="6">
        <v>0.5</v>
      </c>
      <c r="D6" s="6">
        <v>0.5</v>
      </c>
      <c r="E6" s="3">
        <v>0</v>
      </c>
    </row>
    <row r="7" spans="2:5" x14ac:dyDescent="0.25">
      <c r="B7" s="3" t="s">
        <v>22</v>
      </c>
      <c r="C7" s="6">
        <v>1</v>
      </c>
      <c r="D7" s="3"/>
      <c r="E7" s="3"/>
    </row>
    <row r="8" spans="2:5" x14ac:dyDescent="0.25">
      <c r="B8" s="3" t="s">
        <v>23</v>
      </c>
      <c r="C8" s="6">
        <v>1</v>
      </c>
      <c r="D8" s="3"/>
      <c r="E8" s="3"/>
    </row>
    <row r="9" spans="2:5" x14ac:dyDescent="0.25">
      <c r="B9" s="3" t="s">
        <v>24</v>
      </c>
      <c r="C9" s="3"/>
      <c r="D9" s="6">
        <v>0.75</v>
      </c>
      <c r="E9" s="6">
        <v>0.25</v>
      </c>
    </row>
    <row r="10" spans="2:5" x14ac:dyDescent="0.25">
      <c r="B10" s="3" t="s">
        <v>25</v>
      </c>
      <c r="C10" s="3"/>
      <c r="D10" s="3"/>
      <c r="E10" s="6">
        <v>1</v>
      </c>
    </row>
    <row r="11" spans="2:5" x14ac:dyDescent="0.25">
      <c r="B11" s="3" t="s">
        <v>26</v>
      </c>
      <c r="C11" s="3"/>
      <c r="D11" s="3"/>
      <c r="E11" s="6">
        <v>1</v>
      </c>
    </row>
    <row r="12" spans="2:5" x14ac:dyDescent="0.25">
      <c r="B12" s="3" t="s">
        <v>27</v>
      </c>
      <c r="C12" s="7"/>
      <c r="D12" s="7">
        <v>1</v>
      </c>
      <c r="E12" s="7"/>
    </row>
    <row r="13" spans="2:5" x14ac:dyDescent="0.25">
      <c r="B13" s="3" t="s">
        <v>28</v>
      </c>
      <c r="C13" s="7"/>
      <c r="D13" s="7">
        <v>1</v>
      </c>
      <c r="E13" s="7"/>
    </row>
    <row r="14" spans="2:5" x14ac:dyDescent="0.25">
      <c r="B14" s="3" t="s">
        <v>29</v>
      </c>
      <c r="C14" s="7"/>
      <c r="D14" s="7">
        <v>1</v>
      </c>
      <c r="E14" s="7"/>
    </row>
    <row r="15" spans="2:5" x14ac:dyDescent="0.25">
      <c r="B15" s="3" t="s">
        <v>30</v>
      </c>
      <c r="C15" s="7"/>
      <c r="D15" s="7">
        <v>1</v>
      </c>
      <c r="E15" s="7"/>
    </row>
    <row r="16" spans="2:5" x14ac:dyDescent="0.25">
      <c r="B16" s="3" t="s">
        <v>31</v>
      </c>
      <c r="C16" s="7">
        <v>0.5</v>
      </c>
      <c r="D16" s="7"/>
      <c r="E16" s="7">
        <v>0.5</v>
      </c>
    </row>
    <row r="17" spans="2:5" x14ac:dyDescent="0.25">
      <c r="B17" s="3" t="s">
        <v>32</v>
      </c>
      <c r="C17" s="7">
        <v>1</v>
      </c>
      <c r="D17" s="7"/>
      <c r="E17" s="7"/>
    </row>
    <row r="18" spans="2:5" x14ac:dyDescent="0.25">
      <c r="B18" s="3" t="s">
        <v>33</v>
      </c>
      <c r="C18" s="7">
        <v>1</v>
      </c>
      <c r="D18" s="7"/>
      <c r="E18" s="7"/>
    </row>
    <row r="19" spans="2:5" x14ac:dyDescent="0.25">
      <c r="B19" s="3" t="s">
        <v>34</v>
      </c>
      <c r="C19" s="7">
        <v>1</v>
      </c>
      <c r="D19" s="7"/>
      <c r="E19" s="7"/>
    </row>
    <row r="20" spans="2:5" x14ac:dyDescent="0.25">
      <c r="B20" s="3" t="s">
        <v>35</v>
      </c>
      <c r="C20" s="7"/>
      <c r="D20" s="7"/>
      <c r="E20" s="7">
        <v>1</v>
      </c>
    </row>
  </sheetData>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F0308-2AC2-49A4-A433-55BE239FA6F7}">
  <dimension ref="A2:L17"/>
  <sheetViews>
    <sheetView showGridLines="0" workbookViewId="0">
      <selection activeCell="I13" sqref="I13"/>
    </sheetView>
  </sheetViews>
  <sheetFormatPr defaultRowHeight="15" x14ac:dyDescent="0.25"/>
  <cols>
    <col min="1" max="1" width="29.28515625" bestFit="1" customWidth="1"/>
    <col min="2" max="2" width="12.5703125" bestFit="1" customWidth="1"/>
    <col min="3" max="3" width="10.5703125" bestFit="1" customWidth="1"/>
    <col min="4" max="4" width="31.140625" bestFit="1" customWidth="1"/>
    <col min="5" max="5" width="10.42578125" bestFit="1" customWidth="1"/>
    <col min="6" max="6" width="12.85546875" bestFit="1" customWidth="1"/>
    <col min="7" max="7" width="11.5703125" bestFit="1" customWidth="1"/>
    <col min="8" max="8" width="13.28515625" bestFit="1" customWidth="1"/>
    <col min="9" max="9" width="11.5703125" bestFit="1" customWidth="1"/>
  </cols>
  <sheetData>
    <row r="2" spans="1:12" x14ac:dyDescent="0.25">
      <c r="A2" t="s">
        <v>52</v>
      </c>
    </row>
    <row r="3" spans="1:12" x14ac:dyDescent="0.25">
      <c r="B3" t="s">
        <v>54</v>
      </c>
    </row>
    <row r="4" spans="1:12" x14ac:dyDescent="0.25">
      <c r="B4" s="25" t="s">
        <v>45</v>
      </c>
      <c r="C4" s="22" t="s">
        <v>46</v>
      </c>
      <c r="D4" s="22" t="s">
        <v>53</v>
      </c>
      <c r="E4" s="22" t="s">
        <v>47</v>
      </c>
      <c r="F4" s="22" t="s">
        <v>48</v>
      </c>
      <c r="G4" s="22" t="s">
        <v>49</v>
      </c>
      <c r="H4" s="22" t="s">
        <v>50</v>
      </c>
      <c r="I4" s="22" t="s">
        <v>51</v>
      </c>
    </row>
    <row r="5" spans="1:12" x14ac:dyDescent="0.25">
      <c r="B5" s="26" t="s">
        <v>18</v>
      </c>
      <c r="C5" s="23" t="s">
        <v>19</v>
      </c>
      <c r="D5" s="19" t="s">
        <v>57</v>
      </c>
      <c r="E5" s="20">
        <v>44652</v>
      </c>
      <c r="F5" s="19" t="s">
        <v>41</v>
      </c>
      <c r="G5" s="21">
        <v>400000</v>
      </c>
      <c r="H5" s="19" t="s">
        <v>41</v>
      </c>
      <c r="I5" s="21">
        <v>400000</v>
      </c>
      <c r="L5" t="s">
        <v>55</v>
      </c>
    </row>
    <row r="6" spans="1:12" x14ac:dyDescent="0.25">
      <c r="B6" s="19" t="s">
        <v>18</v>
      </c>
      <c r="C6" s="3" t="s">
        <v>20</v>
      </c>
      <c r="D6" s="19" t="s">
        <v>57</v>
      </c>
      <c r="E6" s="20">
        <v>44652</v>
      </c>
      <c r="F6" s="3" t="s">
        <v>41</v>
      </c>
      <c r="G6" s="8">
        <v>400000</v>
      </c>
      <c r="H6" s="3" t="s">
        <v>41</v>
      </c>
      <c r="I6" s="8">
        <v>400000</v>
      </c>
    </row>
    <row r="8" spans="1:12" x14ac:dyDescent="0.25">
      <c r="A8" t="s">
        <v>62</v>
      </c>
      <c r="B8" t="s">
        <v>63</v>
      </c>
    </row>
    <row r="11" spans="1:12" x14ac:dyDescent="0.25">
      <c r="B11" t="s">
        <v>56</v>
      </c>
    </row>
    <row r="12" spans="1:12" x14ac:dyDescent="0.25">
      <c r="A12" s="25" t="s">
        <v>58</v>
      </c>
      <c r="B12" s="25" t="s">
        <v>45</v>
      </c>
      <c r="C12" s="22" t="s">
        <v>46</v>
      </c>
      <c r="D12" s="22" t="s">
        <v>53</v>
      </c>
      <c r="E12" s="22" t="s">
        <v>47</v>
      </c>
      <c r="F12" s="22" t="s">
        <v>48</v>
      </c>
      <c r="G12" s="22" t="s">
        <v>49</v>
      </c>
      <c r="H12" s="22" t="s">
        <v>50</v>
      </c>
      <c r="I12" s="22" t="s">
        <v>51</v>
      </c>
    </row>
    <row r="13" spans="1:12" x14ac:dyDescent="0.25">
      <c r="A13" s="26" t="s">
        <v>59</v>
      </c>
      <c r="B13" s="26" t="s">
        <v>18</v>
      </c>
      <c r="C13" s="23" t="s">
        <v>19</v>
      </c>
      <c r="D13" s="19" t="s">
        <v>57</v>
      </c>
      <c r="E13" s="20">
        <v>44652</v>
      </c>
      <c r="F13" s="19" t="s">
        <v>41</v>
      </c>
      <c r="G13" s="21">
        <v>400000</v>
      </c>
      <c r="H13" s="19" t="s">
        <v>41</v>
      </c>
      <c r="I13" s="21">
        <v>400000</v>
      </c>
      <c r="K13" t="s">
        <v>61</v>
      </c>
    </row>
    <row r="14" spans="1:12" x14ac:dyDescent="0.25">
      <c r="A14" s="26" t="s">
        <v>60</v>
      </c>
      <c r="B14" s="19" t="s">
        <v>18</v>
      </c>
      <c r="C14" s="3" t="s">
        <v>20</v>
      </c>
      <c r="D14" s="19" t="s">
        <v>57</v>
      </c>
      <c r="E14" s="20">
        <v>44652</v>
      </c>
      <c r="F14" s="3" t="s">
        <v>41</v>
      </c>
      <c r="G14" s="8">
        <v>400000</v>
      </c>
      <c r="H14" s="3" t="s">
        <v>41</v>
      </c>
      <c r="I14" s="8">
        <v>400000</v>
      </c>
      <c r="K14" t="s">
        <v>66</v>
      </c>
    </row>
    <row r="15" spans="1:12" x14ac:dyDescent="0.25">
      <c r="E15" s="17"/>
    </row>
    <row r="17" spans="1:2" x14ac:dyDescent="0.25">
      <c r="A17" t="s">
        <v>64</v>
      </c>
      <c r="B17" t="s">
        <v>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01B2B-2996-4A5B-BBB0-F701ED406A65}">
  <dimension ref="A1"/>
  <sheetViews>
    <sheetView showGridLines="0"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1F065-85BF-4D18-8175-5D6CE2A31871}">
  <dimension ref="A4:N7"/>
  <sheetViews>
    <sheetView showGridLines="0" tabSelected="1" workbookViewId="0">
      <selection activeCell="N7" sqref="N7"/>
    </sheetView>
  </sheetViews>
  <sheetFormatPr defaultRowHeight="15" x14ac:dyDescent="0.25"/>
  <cols>
    <col min="3" max="3" width="12.5703125" bestFit="1" customWidth="1"/>
    <col min="4" max="4" width="10.5703125" bestFit="1" customWidth="1"/>
    <col min="5" max="5" width="14.42578125" bestFit="1" customWidth="1"/>
    <col min="6" max="6" width="12" bestFit="1" customWidth="1"/>
    <col min="7" max="7" width="11" bestFit="1" customWidth="1"/>
    <col min="8" max="8" width="42.42578125" bestFit="1" customWidth="1"/>
    <col min="9" max="9" width="21.85546875" bestFit="1" customWidth="1"/>
    <col min="10" max="10" width="48.7109375" bestFit="1" customWidth="1"/>
    <col min="11" max="11" width="47.140625" bestFit="1" customWidth="1"/>
    <col min="12" max="12" width="11.5703125" bestFit="1" customWidth="1"/>
  </cols>
  <sheetData>
    <row r="4" spans="1:14" x14ac:dyDescent="0.25">
      <c r="E4" s="27" t="s">
        <v>80</v>
      </c>
      <c r="F4" s="27"/>
      <c r="G4" s="27"/>
      <c r="H4" s="27"/>
      <c r="M4" t="s">
        <v>88</v>
      </c>
      <c r="N4" t="s">
        <v>89</v>
      </c>
    </row>
    <row r="5" spans="1:14" x14ac:dyDescent="0.25">
      <c r="C5" s="22" t="s">
        <v>72</v>
      </c>
      <c r="D5" s="22" t="s">
        <v>46</v>
      </c>
      <c r="E5" s="22" t="s">
        <v>73</v>
      </c>
      <c r="F5" s="22" t="s">
        <v>74</v>
      </c>
      <c r="G5" s="22" t="s">
        <v>81</v>
      </c>
      <c r="H5" s="22" t="s">
        <v>75</v>
      </c>
      <c r="I5" s="22" t="s">
        <v>76</v>
      </c>
      <c r="J5" s="22" t="s">
        <v>77</v>
      </c>
      <c r="K5" s="22" t="s">
        <v>78</v>
      </c>
      <c r="L5" s="22" t="s">
        <v>79</v>
      </c>
      <c r="M5" s="31" t="s">
        <v>87</v>
      </c>
      <c r="N5" s="31" t="s">
        <v>90</v>
      </c>
    </row>
    <row r="6" spans="1:14" x14ac:dyDescent="0.25">
      <c r="A6" t="s">
        <v>71</v>
      </c>
      <c r="C6" s="24" t="s">
        <v>18</v>
      </c>
      <c r="D6" t="s">
        <v>19</v>
      </c>
      <c r="E6" s="18">
        <v>425000</v>
      </c>
      <c r="F6" s="18">
        <v>25000</v>
      </c>
      <c r="G6" s="18">
        <v>0</v>
      </c>
      <c r="H6" s="18">
        <v>5000</v>
      </c>
      <c r="I6" s="18">
        <f>SUM(E6:H6)</f>
        <v>455000</v>
      </c>
      <c r="J6" s="18">
        <f>-H6</f>
        <v>-5000</v>
      </c>
      <c r="K6" s="18">
        <f>L6-SUM(I6:J6)</f>
        <v>50000</v>
      </c>
      <c r="L6" s="18">
        <f>INDEX('Quarterly Input Tab'!$G:$I,MATCH('NAV Walk tab'!$C6,'Quarterly Input Tab'!$B:$B,0),MATCH('NAV Walk tab'!$D6,'Quarterly Input Tab'!$G$11:$I$11,0))</f>
        <v>500000</v>
      </c>
      <c r="M6" s="28">
        <f>'Returns Calculations'!D9</f>
        <v>1.1882352941176471</v>
      </c>
      <c r="N6" s="29">
        <f>'Returns Calculations'!D10</f>
        <v>6.8167767524719258E-2</v>
      </c>
    </row>
    <row r="7" spans="1:14" x14ac:dyDescent="0.25">
      <c r="A7" t="s">
        <v>71</v>
      </c>
      <c r="C7" s="24" t="s">
        <v>18</v>
      </c>
      <c r="D7" t="s">
        <v>20</v>
      </c>
      <c r="E7" s="18">
        <v>425000</v>
      </c>
      <c r="F7" s="18">
        <v>25000</v>
      </c>
      <c r="G7" s="18">
        <v>0</v>
      </c>
      <c r="H7" s="18">
        <v>5000</v>
      </c>
      <c r="I7" s="18">
        <f>SUM(E7:H7)</f>
        <v>455000</v>
      </c>
      <c r="J7" s="18">
        <f>-H7</f>
        <v>-5000</v>
      </c>
      <c r="K7" s="18">
        <f>L7-SUM(I7:J7)</f>
        <v>50000</v>
      </c>
      <c r="L7" s="18">
        <f>INDEX('Quarterly Input Tab'!$G:$I,MATCH('NAV Walk tab'!$C7,'Quarterly Input Tab'!$B:$B,0),MATCH('NAV Walk tab'!$D7,'Quarterly Input Tab'!$G$11:$I$11,0))</f>
        <v>500000</v>
      </c>
      <c r="M7" s="28">
        <f>'Returns Calculations'!E9</f>
        <v>1.1882352941176471</v>
      </c>
      <c r="N7" s="29">
        <f>'Returns Calculations'!E10</f>
        <v>6.8167767524719258E-2</v>
      </c>
    </row>
  </sheetData>
  <mergeCells count="1">
    <mergeCell ref="E4:H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F6D2C-33E3-4ED8-BC87-482DB775EA3E}">
  <dimension ref="B3:K1050"/>
  <sheetViews>
    <sheetView showGridLines="0" workbookViewId="0">
      <selection activeCell="E10" sqref="E10"/>
    </sheetView>
  </sheetViews>
  <sheetFormatPr defaultRowHeight="15" x14ac:dyDescent="0.25"/>
  <cols>
    <col min="2" max="2" width="10.42578125" bestFit="1" customWidth="1"/>
    <col min="4" max="4" width="22.42578125" bestFit="1" customWidth="1"/>
    <col min="5" max="5" width="12.28515625" bestFit="1" customWidth="1"/>
    <col min="10" max="10" width="10.42578125" bestFit="1" customWidth="1"/>
    <col min="11" max="11" width="12.28515625" bestFit="1" customWidth="1"/>
  </cols>
  <sheetData>
    <row r="3" spans="2:11" x14ac:dyDescent="0.25">
      <c r="C3" t="s">
        <v>85</v>
      </c>
    </row>
    <row r="5" spans="2:11" x14ac:dyDescent="0.25">
      <c r="D5" t="s">
        <v>82</v>
      </c>
    </row>
    <row r="7" spans="2:11" x14ac:dyDescent="0.25">
      <c r="D7" t="s">
        <v>19</v>
      </c>
      <c r="E7" t="s">
        <v>20</v>
      </c>
    </row>
    <row r="8" spans="2:11" x14ac:dyDescent="0.25">
      <c r="D8" t="s">
        <v>18</v>
      </c>
      <c r="E8" t="s">
        <v>18</v>
      </c>
    </row>
    <row r="9" spans="2:11" x14ac:dyDescent="0.25">
      <c r="C9" t="s">
        <v>87</v>
      </c>
      <c r="D9" s="28">
        <f>-SUMIFS(D$12:D$1020,D12:D1020,"&gt;0")/SUMIFS(D$12:D$1020,D12:D1020,"&lt;0")</f>
        <v>1.1882352941176471</v>
      </c>
      <c r="E9" s="28">
        <f>-SUMIFS(E$12:E$1020,E12:E1020,"&gt;0")/SUMIFS(E$12:E$1020,E12:E1020,"&lt;0")</f>
        <v>1.1882352941176471</v>
      </c>
    </row>
    <row r="10" spans="2:11" x14ac:dyDescent="0.25">
      <c r="C10" t="s">
        <v>84</v>
      </c>
      <c r="D10" s="30">
        <f>XIRR(D12:D$1020,$B$12:$B$1020,0.01)</f>
        <v>6.8167767524719258E-2</v>
      </c>
      <c r="E10" s="30">
        <f>XIRR(E12:E$1020,$B$12:$B$1020,0.01)</f>
        <v>6.8167767524719258E-2</v>
      </c>
    </row>
    <row r="11" spans="2:11" x14ac:dyDescent="0.25">
      <c r="J11" s="17"/>
      <c r="K11" s="18"/>
    </row>
    <row r="12" spans="2:11" x14ac:dyDescent="0.25">
      <c r="B12" s="17">
        <v>45017</v>
      </c>
      <c r="D12" s="18">
        <f>-'Cashflows Input Tab'!I13</f>
        <v>-400000</v>
      </c>
      <c r="E12" s="18">
        <f>-'Cashflows Input Tab'!I14</f>
        <v>-400000</v>
      </c>
      <c r="J12" s="17"/>
    </row>
    <row r="13" spans="2:11" x14ac:dyDescent="0.25">
      <c r="B13" s="17">
        <f>B12+1</f>
        <v>45018</v>
      </c>
      <c r="D13" s="18">
        <v>0</v>
      </c>
      <c r="E13" s="18">
        <v>0</v>
      </c>
      <c r="J13" s="17"/>
    </row>
    <row r="14" spans="2:11" x14ac:dyDescent="0.25">
      <c r="B14" s="17">
        <f t="shared" ref="B14:B77" si="0">B13+1</f>
        <v>45019</v>
      </c>
      <c r="D14" s="18">
        <v>0</v>
      </c>
      <c r="E14" s="18">
        <v>0</v>
      </c>
      <c r="J14" s="17"/>
    </row>
    <row r="15" spans="2:11" x14ac:dyDescent="0.25">
      <c r="B15" s="17">
        <f t="shared" si="0"/>
        <v>45020</v>
      </c>
      <c r="D15" s="18">
        <v>0</v>
      </c>
      <c r="E15" s="18">
        <v>0</v>
      </c>
      <c r="J15" s="17"/>
    </row>
    <row r="16" spans="2:11" x14ac:dyDescent="0.25">
      <c r="B16" s="17">
        <f t="shared" si="0"/>
        <v>45021</v>
      </c>
      <c r="D16" s="18">
        <v>0</v>
      </c>
      <c r="E16" s="18">
        <v>0</v>
      </c>
      <c r="J16" s="17"/>
    </row>
    <row r="17" spans="2:10" x14ac:dyDescent="0.25">
      <c r="B17" s="17">
        <f t="shared" si="0"/>
        <v>45022</v>
      </c>
      <c r="D17" s="18">
        <v>0</v>
      </c>
      <c r="E17" s="18">
        <v>0</v>
      </c>
      <c r="J17" s="17"/>
    </row>
    <row r="18" spans="2:10" x14ac:dyDescent="0.25">
      <c r="B18" s="17">
        <f t="shared" si="0"/>
        <v>45023</v>
      </c>
      <c r="D18" s="18">
        <v>0</v>
      </c>
      <c r="E18" s="18">
        <v>0</v>
      </c>
      <c r="J18" s="17"/>
    </row>
    <row r="19" spans="2:10" x14ac:dyDescent="0.25">
      <c r="B19" s="17">
        <f t="shared" si="0"/>
        <v>45024</v>
      </c>
      <c r="D19" s="18">
        <v>0</v>
      </c>
      <c r="E19" s="18">
        <v>0</v>
      </c>
      <c r="J19" s="17"/>
    </row>
    <row r="20" spans="2:10" x14ac:dyDescent="0.25">
      <c r="B20" s="17">
        <f t="shared" si="0"/>
        <v>45025</v>
      </c>
      <c r="D20" s="18">
        <v>0</v>
      </c>
      <c r="E20" s="18">
        <v>0</v>
      </c>
      <c r="J20" s="17"/>
    </row>
    <row r="21" spans="2:10" x14ac:dyDescent="0.25">
      <c r="B21" s="17">
        <f t="shared" si="0"/>
        <v>45026</v>
      </c>
      <c r="D21" s="18">
        <v>0</v>
      </c>
      <c r="E21" s="18">
        <v>0</v>
      </c>
      <c r="J21" s="17"/>
    </row>
    <row r="22" spans="2:10" x14ac:dyDescent="0.25">
      <c r="B22" s="17">
        <f t="shared" si="0"/>
        <v>45027</v>
      </c>
      <c r="D22" s="18">
        <v>0</v>
      </c>
      <c r="E22" s="18">
        <v>0</v>
      </c>
      <c r="J22" s="17"/>
    </row>
    <row r="23" spans="2:10" x14ac:dyDescent="0.25">
      <c r="B23" s="17">
        <f t="shared" si="0"/>
        <v>45028</v>
      </c>
      <c r="D23" s="18">
        <v>0</v>
      </c>
      <c r="E23" s="18">
        <v>0</v>
      </c>
      <c r="J23" s="17"/>
    </row>
    <row r="24" spans="2:10" x14ac:dyDescent="0.25">
      <c r="B24" s="17">
        <f t="shared" si="0"/>
        <v>45029</v>
      </c>
      <c r="D24" s="18">
        <v>0</v>
      </c>
      <c r="E24" s="18">
        <v>0</v>
      </c>
      <c r="J24" s="17"/>
    </row>
    <row r="25" spans="2:10" x14ac:dyDescent="0.25">
      <c r="B25" s="17">
        <f t="shared" si="0"/>
        <v>45030</v>
      </c>
      <c r="D25" s="18">
        <v>0</v>
      </c>
      <c r="E25" s="18">
        <v>0</v>
      </c>
      <c r="J25" s="17"/>
    </row>
    <row r="26" spans="2:10" x14ac:dyDescent="0.25">
      <c r="B26" s="17">
        <f t="shared" si="0"/>
        <v>45031</v>
      </c>
      <c r="D26" s="18">
        <v>0</v>
      </c>
      <c r="E26" s="18">
        <v>0</v>
      </c>
      <c r="J26" s="17"/>
    </row>
    <row r="27" spans="2:10" x14ac:dyDescent="0.25">
      <c r="B27" s="17">
        <f t="shared" si="0"/>
        <v>45032</v>
      </c>
      <c r="D27" s="18">
        <v>0</v>
      </c>
      <c r="E27" s="18">
        <v>0</v>
      </c>
      <c r="J27" s="17"/>
    </row>
    <row r="28" spans="2:10" x14ac:dyDescent="0.25">
      <c r="B28" s="17">
        <f t="shared" si="0"/>
        <v>45033</v>
      </c>
      <c r="D28" s="18">
        <v>0</v>
      </c>
      <c r="E28" s="18">
        <v>0</v>
      </c>
      <c r="J28" s="17"/>
    </row>
    <row r="29" spans="2:10" x14ac:dyDescent="0.25">
      <c r="B29" s="17">
        <f t="shared" si="0"/>
        <v>45034</v>
      </c>
      <c r="D29" s="18">
        <v>0</v>
      </c>
      <c r="E29" s="18">
        <v>0</v>
      </c>
      <c r="J29" s="17"/>
    </row>
    <row r="30" spans="2:10" x14ac:dyDescent="0.25">
      <c r="B30" s="17">
        <f t="shared" si="0"/>
        <v>45035</v>
      </c>
      <c r="D30" s="18">
        <v>0</v>
      </c>
      <c r="E30" s="18">
        <v>0</v>
      </c>
      <c r="J30" s="17"/>
    </row>
    <row r="31" spans="2:10" x14ac:dyDescent="0.25">
      <c r="B31" s="17">
        <f t="shared" si="0"/>
        <v>45036</v>
      </c>
      <c r="D31" s="18">
        <v>0</v>
      </c>
      <c r="E31" s="18">
        <v>0</v>
      </c>
      <c r="J31" s="17"/>
    </row>
    <row r="32" spans="2:10" x14ac:dyDescent="0.25">
      <c r="B32" s="17">
        <f t="shared" si="0"/>
        <v>45037</v>
      </c>
      <c r="D32" s="18">
        <v>0</v>
      </c>
      <c r="E32" s="18">
        <v>0</v>
      </c>
      <c r="J32" s="17"/>
    </row>
    <row r="33" spans="2:10" x14ac:dyDescent="0.25">
      <c r="B33" s="17">
        <f t="shared" si="0"/>
        <v>45038</v>
      </c>
      <c r="D33" s="18">
        <v>0</v>
      </c>
      <c r="E33" s="18">
        <v>0</v>
      </c>
      <c r="J33" s="17"/>
    </row>
    <row r="34" spans="2:10" x14ac:dyDescent="0.25">
      <c r="B34" s="17">
        <f t="shared" si="0"/>
        <v>45039</v>
      </c>
      <c r="D34" s="18">
        <v>0</v>
      </c>
      <c r="E34" s="18">
        <v>0</v>
      </c>
      <c r="J34" s="17"/>
    </row>
    <row r="35" spans="2:10" x14ac:dyDescent="0.25">
      <c r="B35" s="17">
        <f t="shared" si="0"/>
        <v>45040</v>
      </c>
      <c r="D35" s="18">
        <v>0</v>
      </c>
      <c r="E35" s="18">
        <v>0</v>
      </c>
      <c r="J35" s="17"/>
    </row>
    <row r="36" spans="2:10" x14ac:dyDescent="0.25">
      <c r="B36" s="17">
        <f t="shared" si="0"/>
        <v>45041</v>
      </c>
      <c r="D36" s="18">
        <v>0</v>
      </c>
      <c r="E36" s="18">
        <v>0</v>
      </c>
      <c r="J36" s="17"/>
    </row>
    <row r="37" spans="2:10" x14ac:dyDescent="0.25">
      <c r="B37" s="17">
        <f t="shared" si="0"/>
        <v>45042</v>
      </c>
      <c r="D37" s="18">
        <v>0</v>
      </c>
      <c r="E37" s="18">
        <v>0</v>
      </c>
      <c r="J37" s="17"/>
    </row>
    <row r="38" spans="2:10" x14ac:dyDescent="0.25">
      <c r="B38" s="17">
        <f t="shared" si="0"/>
        <v>45043</v>
      </c>
      <c r="D38" s="18">
        <v>0</v>
      </c>
      <c r="E38" s="18">
        <v>0</v>
      </c>
      <c r="J38" s="17"/>
    </row>
    <row r="39" spans="2:10" x14ac:dyDescent="0.25">
      <c r="B39" s="17">
        <f t="shared" si="0"/>
        <v>45044</v>
      </c>
      <c r="D39" s="18">
        <v>0</v>
      </c>
      <c r="E39" s="18">
        <v>0</v>
      </c>
      <c r="J39" s="17"/>
    </row>
    <row r="40" spans="2:10" x14ac:dyDescent="0.25">
      <c r="B40" s="17">
        <f t="shared" si="0"/>
        <v>45045</v>
      </c>
      <c r="D40" s="18">
        <v>0</v>
      </c>
      <c r="E40" s="18">
        <v>0</v>
      </c>
      <c r="J40" s="17"/>
    </row>
    <row r="41" spans="2:10" x14ac:dyDescent="0.25">
      <c r="B41" s="17">
        <f t="shared" si="0"/>
        <v>45046</v>
      </c>
      <c r="D41" s="18">
        <v>0</v>
      </c>
      <c r="E41" s="18">
        <v>0</v>
      </c>
      <c r="J41" s="17"/>
    </row>
    <row r="42" spans="2:10" x14ac:dyDescent="0.25">
      <c r="B42" s="17">
        <f t="shared" si="0"/>
        <v>45047</v>
      </c>
      <c r="D42" s="18">
        <v>0</v>
      </c>
      <c r="E42" s="18">
        <v>0</v>
      </c>
      <c r="J42" s="17"/>
    </row>
    <row r="43" spans="2:10" x14ac:dyDescent="0.25">
      <c r="B43" s="17">
        <f t="shared" si="0"/>
        <v>45048</v>
      </c>
      <c r="D43" s="18">
        <v>0</v>
      </c>
      <c r="E43" s="18">
        <v>0</v>
      </c>
      <c r="J43" s="17"/>
    </row>
    <row r="44" spans="2:10" x14ac:dyDescent="0.25">
      <c r="B44" s="17">
        <f t="shared" si="0"/>
        <v>45049</v>
      </c>
      <c r="D44" s="18">
        <v>0</v>
      </c>
      <c r="E44" s="18">
        <v>0</v>
      </c>
      <c r="J44" s="17"/>
    </row>
    <row r="45" spans="2:10" x14ac:dyDescent="0.25">
      <c r="B45" s="17">
        <f t="shared" si="0"/>
        <v>45050</v>
      </c>
      <c r="D45" s="18">
        <v>0</v>
      </c>
      <c r="E45" s="18">
        <v>0</v>
      </c>
      <c r="J45" s="17"/>
    </row>
    <row r="46" spans="2:10" x14ac:dyDescent="0.25">
      <c r="B46" s="17">
        <f t="shared" si="0"/>
        <v>45051</v>
      </c>
      <c r="D46" s="18">
        <v>0</v>
      </c>
      <c r="E46" s="18">
        <v>0</v>
      </c>
      <c r="J46" s="17"/>
    </row>
    <row r="47" spans="2:10" x14ac:dyDescent="0.25">
      <c r="B47" s="17">
        <f t="shared" si="0"/>
        <v>45052</v>
      </c>
      <c r="D47" s="18">
        <v>0</v>
      </c>
      <c r="E47" s="18">
        <v>0</v>
      </c>
      <c r="J47" s="17"/>
    </row>
    <row r="48" spans="2:10" x14ac:dyDescent="0.25">
      <c r="B48" s="17">
        <f t="shared" si="0"/>
        <v>45053</v>
      </c>
      <c r="D48" s="18">
        <v>0</v>
      </c>
      <c r="E48" s="18">
        <v>0</v>
      </c>
      <c r="J48" s="17"/>
    </row>
    <row r="49" spans="2:10" x14ac:dyDescent="0.25">
      <c r="B49" s="17">
        <f t="shared" si="0"/>
        <v>45054</v>
      </c>
      <c r="D49" s="18">
        <v>0</v>
      </c>
      <c r="E49" s="18">
        <v>0</v>
      </c>
      <c r="J49" s="17"/>
    </row>
    <row r="50" spans="2:10" x14ac:dyDescent="0.25">
      <c r="B50" s="17">
        <f t="shared" si="0"/>
        <v>45055</v>
      </c>
      <c r="D50" s="18">
        <v>0</v>
      </c>
      <c r="E50" s="18">
        <v>0</v>
      </c>
      <c r="J50" s="17"/>
    </row>
    <row r="51" spans="2:10" x14ac:dyDescent="0.25">
      <c r="B51" s="17">
        <f t="shared" si="0"/>
        <v>45056</v>
      </c>
      <c r="D51" s="18">
        <v>0</v>
      </c>
      <c r="E51" s="18">
        <v>0</v>
      </c>
      <c r="J51" s="17"/>
    </row>
    <row r="52" spans="2:10" x14ac:dyDescent="0.25">
      <c r="B52" s="17">
        <f t="shared" si="0"/>
        <v>45057</v>
      </c>
      <c r="D52" s="18">
        <v>0</v>
      </c>
      <c r="E52" s="18">
        <v>0</v>
      </c>
      <c r="J52" s="17"/>
    </row>
    <row r="53" spans="2:10" x14ac:dyDescent="0.25">
      <c r="B53" s="17">
        <f t="shared" si="0"/>
        <v>45058</v>
      </c>
      <c r="D53" s="18">
        <v>0</v>
      </c>
      <c r="E53" s="18">
        <v>0</v>
      </c>
      <c r="J53" s="17"/>
    </row>
    <row r="54" spans="2:10" x14ac:dyDescent="0.25">
      <c r="B54" s="17">
        <f t="shared" si="0"/>
        <v>45059</v>
      </c>
      <c r="D54" s="18">
        <v>0</v>
      </c>
      <c r="E54" s="18">
        <v>0</v>
      </c>
      <c r="J54" s="17"/>
    </row>
    <row r="55" spans="2:10" x14ac:dyDescent="0.25">
      <c r="B55" s="17">
        <f t="shared" si="0"/>
        <v>45060</v>
      </c>
      <c r="D55" s="18">
        <v>0</v>
      </c>
      <c r="E55" s="18">
        <v>0</v>
      </c>
      <c r="J55" s="17"/>
    </row>
    <row r="56" spans="2:10" x14ac:dyDescent="0.25">
      <c r="B56" s="17">
        <f t="shared" si="0"/>
        <v>45061</v>
      </c>
      <c r="D56" s="18">
        <v>0</v>
      </c>
      <c r="E56" s="18">
        <v>0</v>
      </c>
      <c r="J56" s="17"/>
    </row>
    <row r="57" spans="2:10" x14ac:dyDescent="0.25">
      <c r="B57" s="17">
        <f t="shared" si="0"/>
        <v>45062</v>
      </c>
      <c r="D57" s="18">
        <v>0</v>
      </c>
      <c r="E57" s="18">
        <v>0</v>
      </c>
      <c r="J57" s="17"/>
    </row>
    <row r="58" spans="2:10" x14ac:dyDescent="0.25">
      <c r="B58" s="17">
        <f t="shared" si="0"/>
        <v>45063</v>
      </c>
      <c r="D58" s="18">
        <v>0</v>
      </c>
      <c r="E58" s="18">
        <v>0</v>
      </c>
      <c r="J58" s="17"/>
    </row>
    <row r="59" spans="2:10" x14ac:dyDescent="0.25">
      <c r="B59" s="17">
        <f t="shared" si="0"/>
        <v>45064</v>
      </c>
      <c r="D59" s="18">
        <v>0</v>
      </c>
      <c r="E59" s="18">
        <v>0</v>
      </c>
      <c r="J59" s="17"/>
    </row>
    <row r="60" spans="2:10" x14ac:dyDescent="0.25">
      <c r="B60" s="17">
        <f t="shared" si="0"/>
        <v>45065</v>
      </c>
      <c r="D60" s="18">
        <v>0</v>
      </c>
      <c r="E60" s="18">
        <v>0</v>
      </c>
      <c r="J60" s="17"/>
    </row>
    <row r="61" spans="2:10" x14ac:dyDescent="0.25">
      <c r="B61" s="17">
        <f t="shared" si="0"/>
        <v>45066</v>
      </c>
      <c r="D61" s="18">
        <v>0</v>
      </c>
      <c r="E61" s="18">
        <v>0</v>
      </c>
      <c r="J61" s="17"/>
    </row>
    <row r="62" spans="2:10" x14ac:dyDescent="0.25">
      <c r="B62" s="17">
        <f t="shared" si="0"/>
        <v>45067</v>
      </c>
      <c r="D62" s="18">
        <v>0</v>
      </c>
      <c r="E62" s="18">
        <v>0</v>
      </c>
      <c r="J62" s="17"/>
    </row>
    <row r="63" spans="2:10" x14ac:dyDescent="0.25">
      <c r="B63" s="17">
        <f t="shared" si="0"/>
        <v>45068</v>
      </c>
      <c r="D63" s="18">
        <v>0</v>
      </c>
      <c r="E63" s="18">
        <v>0</v>
      </c>
      <c r="J63" s="17"/>
    </row>
    <row r="64" spans="2:10" x14ac:dyDescent="0.25">
      <c r="B64" s="17">
        <f t="shared" si="0"/>
        <v>45069</v>
      </c>
      <c r="D64" s="18">
        <v>0</v>
      </c>
      <c r="E64" s="18">
        <v>0</v>
      </c>
      <c r="J64" s="17"/>
    </row>
    <row r="65" spans="2:10" x14ac:dyDescent="0.25">
      <c r="B65" s="17">
        <f t="shared" si="0"/>
        <v>45070</v>
      </c>
      <c r="D65" s="18">
        <v>0</v>
      </c>
      <c r="E65" s="18">
        <v>0</v>
      </c>
      <c r="J65" s="17"/>
    </row>
    <row r="66" spans="2:10" x14ac:dyDescent="0.25">
      <c r="B66" s="17">
        <f t="shared" si="0"/>
        <v>45071</v>
      </c>
      <c r="D66" s="18">
        <v>0</v>
      </c>
      <c r="E66" s="18">
        <v>0</v>
      </c>
      <c r="J66" s="17"/>
    </row>
    <row r="67" spans="2:10" x14ac:dyDescent="0.25">
      <c r="B67" s="17">
        <f t="shared" si="0"/>
        <v>45072</v>
      </c>
      <c r="D67" s="18">
        <v>0</v>
      </c>
      <c r="E67" s="18">
        <v>0</v>
      </c>
      <c r="J67" s="17"/>
    </row>
    <row r="68" spans="2:10" x14ac:dyDescent="0.25">
      <c r="B68" s="17">
        <f t="shared" si="0"/>
        <v>45073</v>
      </c>
      <c r="D68" s="18">
        <v>0</v>
      </c>
      <c r="E68" s="18">
        <v>0</v>
      </c>
      <c r="J68" s="17"/>
    </row>
    <row r="69" spans="2:10" x14ac:dyDescent="0.25">
      <c r="B69" s="17">
        <f t="shared" si="0"/>
        <v>45074</v>
      </c>
      <c r="D69" s="18">
        <v>0</v>
      </c>
      <c r="E69" s="18">
        <v>0</v>
      </c>
      <c r="J69" s="17"/>
    </row>
    <row r="70" spans="2:10" x14ac:dyDescent="0.25">
      <c r="B70" s="17">
        <f t="shared" si="0"/>
        <v>45075</v>
      </c>
      <c r="D70" s="18">
        <v>0</v>
      </c>
      <c r="E70" s="18">
        <v>0</v>
      </c>
      <c r="J70" s="17"/>
    </row>
    <row r="71" spans="2:10" x14ac:dyDescent="0.25">
      <c r="B71" s="17">
        <f t="shared" si="0"/>
        <v>45076</v>
      </c>
      <c r="D71" s="18">
        <v>0</v>
      </c>
      <c r="E71" s="18">
        <v>0</v>
      </c>
      <c r="J71" s="17"/>
    </row>
    <row r="72" spans="2:10" x14ac:dyDescent="0.25">
      <c r="B72" s="17">
        <f t="shared" si="0"/>
        <v>45077</v>
      </c>
      <c r="D72" s="18">
        <v>0</v>
      </c>
      <c r="E72" s="18">
        <v>0</v>
      </c>
      <c r="J72" s="17"/>
    </row>
    <row r="73" spans="2:10" x14ac:dyDescent="0.25">
      <c r="B73" s="17">
        <f t="shared" si="0"/>
        <v>45078</v>
      </c>
      <c r="D73" s="18">
        <v>0</v>
      </c>
      <c r="E73" s="18">
        <v>0</v>
      </c>
      <c r="J73" s="17"/>
    </row>
    <row r="74" spans="2:10" x14ac:dyDescent="0.25">
      <c r="B74" s="17">
        <f t="shared" si="0"/>
        <v>45079</v>
      </c>
      <c r="D74" s="18">
        <v>0</v>
      </c>
      <c r="E74" s="18">
        <v>0</v>
      </c>
      <c r="J74" s="17"/>
    </row>
    <row r="75" spans="2:10" x14ac:dyDescent="0.25">
      <c r="B75" s="17">
        <f t="shared" si="0"/>
        <v>45080</v>
      </c>
      <c r="D75" s="18">
        <v>0</v>
      </c>
      <c r="E75" s="18">
        <v>0</v>
      </c>
      <c r="J75" s="17"/>
    </row>
    <row r="76" spans="2:10" x14ac:dyDescent="0.25">
      <c r="B76" s="17">
        <f t="shared" si="0"/>
        <v>45081</v>
      </c>
      <c r="D76" s="18">
        <v>0</v>
      </c>
      <c r="E76" s="18">
        <v>0</v>
      </c>
      <c r="J76" s="17"/>
    </row>
    <row r="77" spans="2:10" x14ac:dyDescent="0.25">
      <c r="B77" s="17">
        <f t="shared" si="0"/>
        <v>45082</v>
      </c>
      <c r="D77" s="18">
        <v>0</v>
      </c>
      <c r="E77" s="18">
        <v>0</v>
      </c>
      <c r="J77" s="17"/>
    </row>
    <row r="78" spans="2:10" x14ac:dyDescent="0.25">
      <c r="B78" s="17">
        <f t="shared" ref="B78:B141" si="1">B77+1</f>
        <v>45083</v>
      </c>
      <c r="D78" s="18">
        <v>0</v>
      </c>
      <c r="E78" s="18">
        <v>0</v>
      </c>
      <c r="J78" s="17"/>
    </row>
    <row r="79" spans="2:10" x14ac:dyDescent="0.25">
      <c r="B79" s="17">
        <f t="shared" si="1"/>
        <v>45084</v>
      </c>
      <c r="D79" s="18">
        <v>0</v>
      </c>
      <c r="E79" s="18">
        <v>0</v>
      </c>
      <c r="J79" s="17"/>
    </row>
    <row r="80" spans="2:10" x14ac:dyDescent="0.25">
      <c r="B80" s="17">
        <f t="shared" si="1"/>
        <v>45085</v>
      </c>
      <c r="D80" s="18">
        <v>0</v>
      </c>
      <c r="E80" s="18">
        <v>0</v>
      </c>
      <c r="J80" s="17"/>
    </row>
    <row r="81" spans="2:10" x14ac:dyDescent="0.25">
      <c r="B81" s="17">
        <f t="shared" si="1"/>
        <v>45086</v>
      </c>
      <c r="D81" s="18">
        <v>0</v>
      </c>
      <c r="E81" s="18">
        <v>0</v>
      </c>
      <c r="J81" s="17"/>
    </row>
    <row r="82" spans="2:10" x14ac:dyDescent="0.25">
      <c r="B82" s="17">
        <f t="shared" si="1"/>
        <v>45087</v>
      </c>
      <c r="D82" s="18">
        <v>0</v>
      </c>
      <c r="E82" s="18">
        <v>0</v>
      </c>
      <c r="J82" s="17"/>
    </row>
    <row r="83" spans="2:10" x14ac:dyDescent="0.25">
      <c r="B83" s="17">
        <f t="shared" si="1"/>
        <v>45088</v>
      </c>
      <c r="D83" s="18">
        <v>0</v>
      </c>
      <c r="E83" s="18">
        <v>0</v>
      </c>
      <c r="J83" s="17"/>
    </row>
    <row r="84" spans="2:10" x14ac:dyDescent="0.25">
      <c r="B84" s="17">
        <f t="shared" si="1"/>
        <v>45089</v>
      </c>
      <c r="D84" s="18">
        <v>0</v>
      </c>
      <c r="E84" s="18">
        <v>0</v>
      </c>
      <c r="J84" s="17"/>
    </row>
    <row r="85" spans="2:10" x14ac:dyDescent="0.25">
      <c r="B85" s="17">
        <f t="shared" si="1"/>
        <v>45090</v>
      </c>
      <c r="D85" s="18">
        <v>0</v>
      </c>
      <c r="E85" s="18">
        <v>0</v>
      </c>
      <c r="J85" s="17"/>
    </row>
    <row r="86" spans="2:10" x14ac:dyDescent="0.25">
      <c r="B86" s="17">
        <f t="shared" si="1"/>
        <v>45091</v>
      </c>
      <c r="D86" s="18">
        <v>0</v>
      </c>
      <c r="E86" s="18">
        <v>0</v>
      </c>
      <c r="J86" s="17"/>
    </row>
    <row r="87" spans="2:10" x14ac:dyDescent="0.25">
      <c r="B87" s="17">
        <f t="shared" si="1"/>
        <v>45092</v>
      </c>
      <c r="D87" s="18">
        <v>0</v>
      </c>
      <c r="E87" s="18">
        <v>0</v>
      </c>
      <c r="J87" s="17"/>
    </row>
    <row r="88" spans="2:10" x14ac:dyDescent="0.25">
      <c r="B88" s="17">
        <f t="shared" si="1"/>
        <v>45093</v>
      </c>
      <c r="D88" s="18">
        <v>0</v>
      </c>
      <c r="E88" s="18">
        <v>0</v>
      </c>
      <c r="J88" s="17"/>
    </row>
    <row r="89" spans="2:10" x14ac:dyDescent="0.25">
      <c r="B89" s="17">
        <f t="shared" si="1"/>
        <v>45094</v>
      </c>
      <c r="D89" s="18">
        <v>0</v>
      </c>
      <c r="E89" s="18">
        <v>0</v>
      </c>
      <c r="J89" s="17"/>
    </row>
    <row r="90" spans="2:10" x14ac:dyDescent="0.25">
      <c r="B90" s="17">
        <f t="shared" si="1"/>
        <v>45095</v>
      </c>
      <c r="D90" s="18">
        <v>0</v>
      </c>
      <c r="E90" s="18">
        <v>0</v>
      </c>
      <c r="J90" s="17"/>
    </row>
    <row r="91" spans="2:10" x14ac:dyDescent="0.25">
      <c r="B91" s="17">
        <f t="shared" si="1"/>
        <v>45096</v>
      </c>
      <c r="D91" s="18">
        <v>0</v>
      </c>
      <c r="E91" s="18">
        <v>0</v>
      </c>
      <c r="J91" s="17"/>
    </row>
    <row r="92" spans="2:10" x14ac:dyDescent="0.25">
      <c r="B92" s="17">
        <f t="shared" si="1"/>
        <v>45097</v>
      </c>
      <c r="D92" s="18">
        <v>0</v>
      </c>
      <c r="E92" s="18">
        <v>0</v>
      </c>
      <c r="J92" s="17"/>
    </row>
    <row r="93" spans="2:10" x14ac:dyDescent="0.25">
      <c r="B93" s="17">
        <f t="shared" si="1"/>
        <v>45098</v>
      </c>
      <c r="D93" s="18">
        <v>0</v>
      </c>
      <c r="E93" s="18">
        <v>0</v>
      </c>
      <c r="J93" s="17"/>
    </row>
    <row r="94" spans="2:10" x14ac:dyDescent="0.25">
      <c r="B94" s="17">
        <f t="shared" si="1"/>
        <v>45099</v>
      </c>
      <c r="D94" s="18">
        <v>0</v>
      </c>
      <c r="E94" s="18">
        <v>0</v>
      </c>
      <c r="J94" s="17"/>
    </row>
    <row r="95" spans="2:10" x14ac:dyDescent="0.25">
      <c r="B95" s="17">
        <f t="shared" si="1"/>
        <v>45100</v>
      </c>
      <c r="D95" s="18">
        <v>0</v>
      </c>
      <c r="E95" s="18">
        <v>0</v>
      </c>
      <c r="J95" s="17"/>
    </row>
    <row r="96" spans="2:10" x14ac:dyDescent="0.25">
      <c r="B96" s="17">
        <f t="shared" si="1"/>
        <v>45101</v>
      </c>
      <c r="D96" s="18">
        <v>0</v>
      </c>
      <c r="E96" s="18">
        <v>0</v>
      </c>
      <c r="J96" s="17"/>
    </row>
    <row r="97" spans="2:10" x14ac:dyDescent="0.25">
      <c r="B97" s="17">
        <f t="shared" si="1"/>
        <v>45102</v>
      </c>
      <c r="D97" s="18">
        <v>0</v>
      </c>
      <c r="E97" s="18">
        <v>0</v>
      </c>
      <c r="J97" s="17"/>
    </row>
    <row r="98" spans="2:10" x14ac:dyDescent="0.25">
      <c r="B98" s="17">
        <f t="shared" si="1"/>
        <v>45103</v>
      </c>
      <c r="D98" s="18">
        <v>0</v>
      </c>
      <c r="E98" s="18">
        <v>0</v>
      </c>
      <c r="J98" s="17"/>
    </row>
    <row r="99" spans="2:10" x14ac:dyDescent="0.25">
      <c r="B99" s="17">
        <f t="shared" si="1"/>
        <v>45104</v>
      </c>
      <c r="D99" s="18">
        <v>0</v>
      </c>
      <c r="E99" s="18">
        <v>0</v>
      </c>
      <c r="J99" s="17"/>
    </row>
    <row r="100" spans="2:10" x14ac:dyDescent="0.25">
      <c r="B100" s="17">
        <f t="shared" si="1"/>
        <v>45105</v>
      </c>
      <c r="D100" s="18">
        <v>0</v>
      </c>
      <c r="E100" s="18">
        <v>0</v>
      </c>
      <c r="J100" s="17"/>
    </row>
    <row r="101" spans="2:10" x14ac:dyDescent="0.25">
      <c r="B101" s="17">
        <f t="shared" si="1"/>
        <v>45106</v>
      </c>
      <c r="D101" s="18">
        <v>0</v>
      </c>
      <c r="E101" s="18">
        <v>0</v>
      </c>
      <c r="J101" s="17"/>
    </row>
    <row r="102" spans="2:10" x14ac:dyDescent="0.25">
      <c r="B102" s="17">
        <f t="shared" si="1"/>
        <v>45107</v>
      </c>
      <c r="D102" s="18">
        <v>0</v>
      </c>
      <c r="E102" s="18">
        <v>0</v>
      </c>
      <c r="J102" s="17"/>
    </row>
    <row r="103" spans="2:10" x14ac:dyDescent="0.25">
      <c r="B103" s="17">
        <f t="shared" si="1"/>
        <v>45108</v>
      </c>
      <c r="D103" s="18">
        <v>0</v>
      </c>
      <c r="E103" s="18">
        <v>0</v>
      </c>
      <c r="J103" s="17"/>
    </row>
    <row r="104" spans="2:10" x14ac:dyDescent="0.25">
      <c r="B104" s="17">
        <f t="shared" si="1"/>
        <v>45109</v>
      </c>
      <c r="D104" s="18">
        <v>0</v>
      </c>
      <c r="E104" s="18">
        <v>0</v>
      </c>
      <c r="J104" s="17"/>
    </row>
    <row r="105" spans="2:10" x14ac:dyDescent="0.25">
      <c r="B105" s="17">
        <f t="shared" si="1"/>
        <v>45110</v>
      </c>
      <c r="D105" s="18">
        <v>0</v>
      </c>
      <c r="E105" s="18">
        <v>0</v>
      </c>
      <c r="J105" s="17"/>
    </row>
    <row r="106" spans="2:10" x14ac:dyDescent="0.25">
      <c r="B106" s="17">
        <f t="shared" si="1"/>
        <v>45111</v>
      </c>
      <c r="D106" s="18">
        <v>0</v>
      </c>
      <c r="E106" s="18">
        <v>0</v>
      </c>
      <c r="J106" s="17"/>
    </row>
    <row r="107" spans="2:10" x14ac:dyDescent="0.25">
      <c r="B107" s="17">
        <f t="shared" si="1"/>
        <v>45112</v>
      </c>
      <c r="D107" s="18">
        <v>0</v>
      </c>
      <c r="E107" s="18">
        <v>0</v>
      </c>
      <c r="J107" s="17"/>
    </row>
    <row r="108" spans="2:10" x14ac:dyDescent="0.25">
      <c r="B108" s="17">
        <f t="shared" si="1"/>
        <v>45113</v>
      </c>
      <c r="D108" s="18">
        <v>0</v>
      </c>
      <c r="E108" s="18">
        <v>0</v>
      </c>
      <c r="J108" s="17"/>
    </row>
    <row r="109" spans="2:10" x14ac:dyDescent="0.25">
      <c r="B109" s="17">
        <f t="shared" si="1"/>
        <v>45114</v>
      </c>
      <c r="D109" s="18">
        <v>0</v>
      </c>
      <c r="E109" s="18">
        <v>0</v>
      </c>
      <c r="J109" s="17"/>
    </row>
    <row r="110" spans="2:10" x14ac:dyDescent="0.25">
      <c r="B110" s="17">
        <f t="shared" si="1"/>
        <v>45115</v>
      </c>
      <c r="D110" s="18">
        <v>0</v>
      </c>
      <c r="E110" s="18">
        <v>0</v>
      </c>
      <c r="J110" s="17"/>
    </row>
    <row r="111" spans="2:10" x14ac:dyDescent="0.25">
      <c r="B111" s="17">
        <f t="shared" si="1"/>
        <v>45116</v>
      </c>
      <c r="D111" s="18">
        <v>0</v>
      </c>
      <c r="E111" s="18">
        <v>0</v>
      </c>
      <c r="J111" s="17"/>
    </row>
    <row r="112" spans="2:10" x14ac:dyDescent="0.25">
      <c r="B112" s="17">
        <f t="shared" si="1"/>
        <v>45117</v>
      </c>
      <c r="D112" s="18">
        <v>0</v>
      </c>
      <c r="E112" s="18">
        <v>0</v>
      </c>
      <c r="J112" s="17"/>
    </row>
    <row r="113" spans="2:10" x14ac:dyDescent="0.25">
      <c r="B113" s="17">
        <f t="shared" si="1"/>
        <v>45118</v>
      </c>
      <c r="D113" s="18">
        <v>0</v>
      </c>
      <c r="E113" s="18">
        <v>0</v>
      </c>
      <c r="J113" s="17"/>
    </row>
    <row r="114" spans="2:10" x14ac:dyDescent="0.25">
      <c r="B114" s="17">
        <f t="shared" si="1"/>
        <v>45119</v>
      </c>
      <c r="D114" s="18">
        <v>0</v>
      </c>
      <c r="E114" s="18">
        <v>0</v>
      </c>
      <c r="J114" s="17"/>
    </row>
    <row r="115" spans="2:10" x14ac:dyDescent="0.25">
      <c r="B115" s="17">
        <f t="shared" si="1"/>
        <v>45120</v>
      </c>
      <c r="D115" s="18">
        <v>0</v>
      </c>
      <c r="E115" s="18">
        <v>0</v>
      </c>
      <c r="J115" s="17"/>
    </row>
    <row r="116" spans="2:10" x14ac:dyDescent="0.25">
      <c r="B116" s="17">
        <f t="shared" si="1"/>
        <v>45121</v>
      </c>
      <c r="D116" s="18">
        <v>0</v>
      </c>
      <c r="E116" s="18">
        <v>0</v>
      </c>
      <c r="J116" s="17"/>
    </row>
    <row r="117" spans="2:10" x14ac:dyDescent="0.25">
      <c r="B117" s="17">
        <f t="shared" si="1"/>
        <v>45122</v>
      </c>
      <c r="D117" s="18">
        <v>0</v>
      </c>
      <c r="E117" s="18">
        <v>0</v>
      </c>
      <c r="J117" s="17"/>
    </row>
    <row r="118" spans="2:10" x14ac:dyDescent="0.25">
      <c r="B118" s="17">
        <f t="shared" si="1"/>
        <v>45123</v>
      </c>
      <c r="D118" s="18">
        <v>0</v>
      </c>
      <c r="E118" s="18">
        <v>0</v>
      </c>
      <c r="J118" s="17"/>
    </row>
    <row r="119" spans="2:10" x14ac:dyDescent="0.25">
      <c r="B119" s="17">
        <f t="shared" si="1"/>
        <v>45124</v>
      </c>
      <c r="D119" s="18">
        <v>0</v>
      </c>
      <c r="E119" s="18">
        <v>0</v>
      </c>
      <c r="J119" s="17"/>
    </row>
    <row r="120" spans="2:10" x14ac:dyDescent="0.25">
      <c r="B120" s="17">
        <f t="shared" si="1"/>
        <v>45125</v>
      </c>
      <c r="D120" s="18">
        <v>0</v>
      </c>
      <c r="E120" s="18">
        <v>0</v>
      </c>
      <c r="J120" s="17"/>
    </row>
    <row r="121" spans="2:10" x14ac:dyDescent="0.25">
      <c r="B121" s="17">
        <f t="shared" si="1"/>
        <v>45126</v>
      </c>
      <c r="D121" s="18">
        <v>0</v>
      </c>
      <c r="E121" s="18">
        <v>0</v>
      </c>
      <c r="J121" s="17"/>
    </row>
    <row r="122" spans="2:10" x14ac:dyDescent="0.25">
      <c r="B122" s="17">
        <f t="shared" si="1"/>
        <v>45127</v>
      </c>
      <c r="D122" s="18">
        <v>0</v>
      </c>
      <c r="E122" s="18">
        <v>0</v>
      </c>
      <c r="J122" s="17"/>
    </row>
    <row r="123" spans="2:10" x14ac:dyDescent="0.25">
      <c r="B123" s="17">
        <f t="shared" si="1"/>
        <v>45128</v>
      </c>
      <c r="D123" s="18">
        <v>0</v>
      </c>
      <c r="E123" s="18">
        <v>0</v>
      </c>
      <c r="J123" s="17"/>
    </row>
    <row r="124" spans="2:10" x14ac:dyDescent="0.25">
      <c r="B124" s="17">
        <f t="shared" si="1"/>
        <v>45129</v>
      </c>
      <c r="D124" s="18">
        <v>0</v>
      </c>
      <c r="E124" s="18">
        <v>0</v>
      </c>
      <c r="J124" s="17"/>
    </row>
    <row r="125" spans="2:10" x14ac:dyDescent="0.25">
      <c r="B125" s="17">
        <f t="shared" si="1"/>
        <v>45130</v>
      </c>
      <c r="D125" s="18">
        <v>0</v>
      </c>
      <c r="E125" s="18">
        <v>0</v>
      </c>
      <c r="J125" s="17"/>
    </row>
    <row r="126" spans="2:10" x14ac:dyDescent="0.25">
      <c r="B126" s="17">
        <f t="shared" si="1"/>
        <v>45131</v>
      </c>
      <c r="D126" s="18">
        <v>0</v>
      </c>
      <c r="E126" s="18">
        <v>0</v>
      </c>
      <c r="J126" s="17"/>
    </row>
    <row r="127" spans="2:10" x14ac:dyDescent="0.25">
      <c r="B127" s="17">
        <f t="shared" si="1"/>
        <v>45132</v>
      </c>
      <c r="D127" s="18">
        <v>0</v>
      </c>
      <c r="E127" s="18">
        <v>0</v>
      </c>
      <c r="J127" s="17"/>
    </row>
    <row r="128" spans="2:10" x14ac:dyDescent="0.25">
      <c r="B128" s="17">
        <f t="shared" si="1"/>
        <v>45133</v>
      </c>
      <c r="D128" s="18">
        <v>0</v>
      </c>
      <c r="E128" s="18">
        <v>0</v>
      </c>
      <c r="J128" s="17"/>
    </row>
    <row r="129" spans="2:10" x14ac:dyDescent="0.25">
      <c r="B129" s="17">
        <f t="shared" si="1"/>
        <v>45134</v>
      </c>
      <c r="D129" s="18">
        <v>0</v>
      </c>
      <c r="E129" s="18">
        <v>0</v>
      </c>
      <c r="J129" s="17"/>
    </row>
    <row r="130" spans="2:10" x14ac:dyDescent="0.25">
      <c r="B130" s="17">
        <f t="shared" si="1"/>
        <v>45135</v>
      </c>
      <c r="D130" s="18">
        <v>0</v>
      </c>
      <c r="E130" s="18">
        <v>0</v>
      </c>
      <c r="J130" s="17"/>
    </row>
    <row r="131" spans="2:10" x14ac:dyDescent="0.25">
      <c r="B131" s="17">
        <f t="shared" si="1"/>
        <v>45136</v>
      </c>
      <c r="D131" s="18">
        <v>0</v>
      </c>
      <c r="E131" s="18">
        <v>0</v>
      </c>
      <c r="J131" s="17"/>
    </row>
    <row r="132" spans="2:10" x14ac:dyDescent="0.25">
      <c r="B132" s="17">
        <f t="shared" si="1"/>
        <v>45137</v>
      </c>
      <c r="D132" s="18">
        <v>0</v>
      </c>
      <c r="E132" s="18">
        <v>0</v>
      </c>
      <c r="J132" s="17"/>
    </row>
    <row r="133" spans="2:10" x14ac:dyDescent="0.25">
      <c r="B133" s="17">
        <f t="shared" si="1"/>
        <v>45138</v>
      </c>
      <c r="D133" s="18">
        <v>0</v>
      </c>
      <c r="E133" s="18">
        <v>0</v>
      </c>
      <c r="J133" s="17"/>
    </row>
    <row r="134" spans="2:10" x14ac:dyDescent="0.25">
      <c r="B134" s="17">
        <f t="shared" si="1"/>
        <v>45139</v>
      </c>
      <c r="D134" s="18">
        <v>0</v>
      </c>
      <c r="E134" s="18">
        <v>0</v>
      </c>
      <c r="J134" s="17"/>
    </row>
    <row r="135" spans="2:10" x14ac:dyDescent="0.25">
      <c r="B135" s="17">
        <f t="shared" si="1"/>
        <v>45140</v>
      </c>
      <c r="D135" s="18">
        <v>0</v>
      </c>
      <c r="E135" s="18">
        <v>0</v>
      </c>
      <c r="J135" s="17"/>
    </row>
    <row r="136" spans="2:10" x14ac:dyDescent="0.25">
      <c r="B136" s="17">
        <f t="shared" si="1"/>
        <v>45141</v>
      </c>
      <c r="D136" s="18">
        <v>0</v>
      </c>
      <c r="E136" s="18">
        <v>0</v>
      </c>
      <c r="J136" s="17"/>
    </row>
    <row r="137" spans="2:10" x14ac:dyDescent="0.25">
      <c r="B137" s="17">
        <f t="shared" si="1"/>
        <v>45142</v>
      </c>
      <c r="D137" s="18">
        <v>0</v>
      </c>
      <c r="E137" s="18">
        <v>0</v>
      </c>
      <c r="J137" s="17"/>
    </row>
    <row r="138" spans="2:10" x14ac:dyDescent="0.25">
      <c r="B138" s="17">
        <f t="shared" si="1"/>
        <v>45143</v>
      </c>
      <c r="D138" s="18">
        <v>0</v>
      </c>
      <c r="E138" s="18">
        <v>0</v>
      </c>
      <c r="J138" s="17"/>
    </row>
    <row r="139" spans="2:10" x14ac:dyDescent="0.25">
      <c r="B139" s="17">
        <f t="shared" si="1"/>
        <v>45144</v>
      </c>
      <c r="D139" s="18">
        <v>0</v>
      </c>
      <c r="E139" s="18">
        <v>0</v>
      </c>
      <c r="J139" s="17"/>
    </row>
    <row r="140" spans="2:10" x14ac:dyDescent="0.25">
      <c r="B140" s="17">
        <f t="shared" si="1"/>
        <v>45145</v>
      </c>
      <c r="D140" s="18">
        <v>0</v>
      </c>
      <c r="E140" s="18">
        <v>0</v>
      </c>
      <c r="J140" s="17"/>
    </row>
    <row r="141" spans="2:10" x14ac:dyDescent="0.25">
      <c r="B141" s="17">
        <f t="shared" si="1"/>
        <v>45146</v>
      </c>
      <c r="D141" s="18">
        <v>0</v>
      </c>
      <c r="E141" s="18">
        <v>0</v>
      </c>
      <c r="J141" s="17"/>
    </row>
    <row r="142" spans="2:10" x14ac:dyDescent="0.25">
      <c r="B142" s="17">
        <f t="shared" ref="B142:B205" si="2">B141+1</f>
        <v>45147</v>
      </c>
      <c r="D142" s="18">
        <v>0</v>
      </c>
      <c r="E142" s="18">
        <v>0</v>
      </c>
      <c r="J142" s="17"/>
    </row>
    <row r="143" spans="2:10" x14ac:dyDescent="0.25">
      <c r="B143" s="17">
        <f t="shared" si="2"/>
        <v>45148</v>
      </c>
      <c r="D143" s="18">
        <v>0</v>
      </c>
      <c r="E143" s="18">
        <v>0</v>
      </c>
      <c r="J143" s="17"/>
    </row>
    <row r="144" spans="2:10" x14ac:dyDescent="0.25">
      <c r="B144" s="17">
        <f t="shared" si="2"/>
        <v>45149</v>
      </c>
      <c r="D144" s="18">
        <v>0</v>
      </c>
      <c r="E144" s="18">
        <v>0</v>
      </c>
      <c r="J144" s="17"/>
    </row>
    <row r="145" spans="2:10" x14ac:dyDescent="0.25">
      <c r="B145" s="17">
        <f t="shared" si="2"/>
        <v>45150</v>
      </c>
      <c r="D145" s="18">
        <v>0</v>
      </c>
      <c r="E145" s="18">
        <v>0</v>
      </c>
      <c r="J145" s="17"/>
    </row>
    <row r="146" spans="2:10" x14ac:dyDescent="0.25">
      <c r="B146" s="17">
        <f t="shared" si="2"/>
        <v>45151</v>
      </c>
      <c r="D146" s="18">
        <v>0</v>
      </c>
      <c r="E146" s="18">
        <v>0</v>
      </c>
      <c r="J146" s="17"/>
    </row>
    <row r="147" spans="2:10" x14ac:dyDescent="0.25">
      <c r="B147" s="17">
        <f t="shared" si="2"/>
        <v>45152</v>
      </c>
      <c r="D147" s="18">
        <v>0</v>
      </c>
      <c r="E147" s="18">
        <v>0</v>
      </c>
      <c r="J147" s="17"/>
    </row>
    <row r="148" spans="2:10" x14ac:dyDescent="0.25">
      <c r="B148" s="17">
        <f t="shared" si="2"/>
        <v>45153</v>
      </c>
      <c r="D148" s="18">
        <v>0</v>
      </c>
      <c r="E148" s="18">
        <v>0</v>
      </c>
      <c r="J148" s="17"/>
    </row>
    <row r="149" spans="2:10" x14ac:dyDescent="0.25">
      <c r="B149" s="17">
        <f t="shared" si="2"/>
        <v>45154</v>
      </c>
      <c r="D149" s="18">
        <v>0</v>
      </c>
      <c r="E149" s="18">
        <v>0</v>
      </c>
      <c r="J149" s="17"/>
    </row>
    <row r="150" spans="2:10" x14ac:dyDescent="0.25">
      <c r="B150" s="17">
        <f t="shared" si="2"/>
        <v>45155</v>
      </c>
      <c r="D150" s="18">
        <v>0</v>
      </c>
      <c r="E150" s="18">
        <v>0</v>
      </c>
      <c r="J150" s="17"/>
    </row>
    <row r="151" spans="2:10" x14ac:dyDescent="0.25">
      <c r="B151" s="17">
        <f t="shared" si="2"/>
        <v>45156</v>
      </c>
      <c r="D151" s="18">
        <v>0</v>
      </c>
      <c r="E151" s="18">
        <v>0</v>
      </c>
      <c r="J151" s="17"/>
    </row>
    <row r="152" spans="2:10" x14ac:dyDescent="0.25">
      <c r="B152" s="17">
        <f t="shared" si="2"/>
        <v>45157</v>
      </c>
      <c r="D152" s="18">
        <v>0</v>
      </c>
      <c r="E152" s="18">
        <v>0</v>
      </c>
      <c r="J152" s="17"/>
    </row>
    <row r="153" spans="2:10" x14ac:dyDescent="0.25">
      <c r="B153" s="17">
        <f t="shared" si="2"/>
        <v>45158</v>
      </c>
      <c r="D153" s="18">
        <v>0</v>
      </c>
      <c r="E153" s="18">
        <v>0</v>
      </c>
      <c r="J153" s="17"/>
    </row>
    <row r="154" spans="2:10" x14ac:dyDescent="0.25">
      <c r="B154" s="17">
        <f t="shared" si="2"/>
        <v>45159</v>
      </c>
      <c r="D154" s="18">
        <v>0</v>
      </c>
      <c r="E154" s="18">
        <v>0</v>
      </c>
      <c r="J154" s="17"/>
    </row>
    <row r="155" spans="2:10" x14ac:dyDescent="0.25">
      <c r="B155" s="17">
        <f t="shared" si="2"/>
        <v>45160</v>
      </c>
      <c r="D155" s="18">
        <v>0</v>
      </c>
      <c r="E155" s="18">
        <v>0</v>
      </c>
      <c r="J155" s="17"/>
    </row>
    <row r="156" spans="2:10" x14ac:dyDescent="0.25">
      <c r="B156" s="17">
        <f t="shared" si="2"/>
        <v>45161</v>
      </c>
      <c r="D156" s="18">
        <v>0</v>
      </c>
      <c r="E156" s="18">
        <v>0</v>
      </c>
      <c r="J156" s="17"/>
    </row>
    <row r="157" spans="2:10" x14ac:dyDescent="0.25">
      <c r="B157" s="17">
        <f t="shared" si="2"/>
        <v>45162</v>
      </c>
      <c r="D157" s="18">
        <v>0</v>
      </c>
      <c r="E157" s="18">
        <v>0</v>
      </c>
      <c r="J157" s="17"/>
    </row>
    <row r="158" spans="2:10" x14ac:dyDescent="0.25">
      <c r="B158" s="17">
        <f t="shared" si="2"/>
        <v>45163</v>
      </c>
      <c r="D158" s="18">
        <v>0</v>
      </c>
      <c r="E158" s="18">
        <v>0</v>
      </c>
      <c r="J158" s="17"/>
    </row>
    <row r="159" spans="2:10" x14ac:dyDescent="0.25">
      <c r="B159" s="17">
        <f t="shared" si="2"/>
        <v>45164</v>
      </c>
      <c r="D159" s="18">
        <v>0</v>
      </c>
      <c r="E159" s="18">
        <v>0</v>
      </c>
      <c r="J159" s="17"/>
    </row>
    <row r="160" spans="2:10" x14ac:dyDescent="0.25">
      <c r="B160" s="17">
        <f t="shared" si="2"/>
        <v>45165</v>
      </c>
      <c r="D160" s="18">
        <v>0</v>
      </c>
      <c r="E160" s="18">
        <v>0</v>
      </c>
      <c r="J160" s="17"/>
    </row>
    <row r="161" spans="2:10" x14ac:dyDescent="0.25">
      <c r="B161" s="17">
        <f t="shared" si="2"/>
        <v>45166</v>
      </c>
      <c r="D161" s="18">
        <v>0</v>
      </c>
      <c r="E161" s="18">
        <v>0</v>
      </c>
      <c r="J161" s="17"/>
    </row>
    <row r="162" spans="2:10" x14ac:dyDescent="0.25">
      <c r="B162" s="17">
        <f t="shared" si="2"/>
        <v>45167</v>
      </c>
      <c r="D162" s="18">
        <v>0</v>
      </c>
      <c r="E162" s="18">
        <v>0</v>
      </c>
      <c r="J162" s="17"/>
    </row>
    <row r="163" spans="2:10" x14ac:dyDescent="0.25">
      <c r="B163" s="17">
        <f t="shared" si="2"/>
        <v>45168</v>
      </c>
      <c r="D163" s="18">
        <v>0</v>
      </c>
      <c r="E163" s="18">
        <v>0</v>
      </c>
      <c r="J163" s="17"/>
    </row>
    <row r="164" spans="2:10" x14ac:dyDescent="0.25">
      <c r="B164" s="17">
        <f t="shared" si="2"/>
        <v>45169</v>
      </c>
      <c r="D164" s="18">
        <v>0</v>
      </c>
      <c r="E164" s="18">
        <v>0</v>
      </c>
      <c r="J164" s="17"/>
    </row>
    <row r="165" spans="2:10" x14ac:dyDescent="0.25">
      <c r="B165" s="17">
        <f t="shared" si="2"/>
        <v>45170</v>
      </c>
      <c r="D165" s="18">
        <v>0</v>
      </c>
      <c r="E165" s="18">
        <v>0</v>
      </c>
      <c r="J165" s="17"/>
    </row>
    <row r="166" spans="2:10" x14ac:dyDescent="0.25">
      <c r="B166" s="17">
        <f t="shared" si="2"/>
        <v>45171</v>
      </c>
      <c r="D166" s="18">
        <v>0</v>
      </c>
      <c r="E166" s="18">
        <v>0</v>
      </c>
      <c r="J166" s="17"/>
    </row>
    <row r="167" spans="2:10" x14ac:dyDescent="0.25">
      <c r="B167" s="17">
        <f t="shared" si="2"/>
        <v>45172</v>
      </c>
      <c r="D167" s="18">
        <v>0</v>
      </c>
      <c r="E167" s="18">
        <v>0</v>
      </c>
      <c r="J167" s="17"/>
    </row>
    <row r="168" spans="2:10" x14ac:dyDescent="0.25">
      <c r="B168" s="17">
        <f t="shared" si="2"/>
        <v>45173</v>
      </c>
      <c r="D168" s="18">
        <v>0</v>
      </c>
      <c r="E168" s="18">
        <v>0</v>
      </c>
      <c r="J168" s="17"/>
    </row>
    <row r="169" spans="2:10" x14ac:dyDescent="0.25">
      <c r="B169" s="17">
        <f t="shared" si="2"/>
        <v>45174</v>
      </c>
      <c r="D169" s="18">
        <v>0</v>
      </c>
      <c r="E169" s="18">
        <v>0</v>
      </c>
      <c r="J169" s="17"/>
    </row>
    <row r="170" spans="2:10" x14ac:dyDescent="0.25">
      <c r="B170" s="17">
        <f t="shared" si="2"/>
        <v>45175</v>
      </c>
      <c r="D170" s="18">
        <v>0</v>
      </c>
      <c r="E170" s="18">
        <v>0</v>
      </c>
      <c r="J170" s="17"/>
    </row>
    <row r="171" spans="2:10" x14ac:dyDescent="0.25">
      <c r="B171" s="17">
        <f t="shared" si="2"/>
        <v>45176</v>
      </c>
      <c r="D171" s="18">
        <v>0</v>
      </c>
      <c r="E171" s="18">
        <v>0</v>
      </c>
      <c r="J171" s="17"/>
    </row>
    <row r="172" spans="2:10" x14ac:dyDescent="0.25">
      <c r="B172" s="17">
        <f t="shared" si="2"/>
        <v>45177</v>
      </c>
      <c r="D172" s="18">
        <v>0</v>
      </c>
      <c r="E172" s="18">
        <v>0</v>
      </c>
      <c r="J172" s="17"/>
    </row>
    <row r="173" spans="2:10" x14ac:dyDescent="0.25">
      <c r="B173" s="17">
        <f t="shared" si="2"/>
        <v>45178</v>
      </c>
      <c r="D173" s="18">
        <v>0</v>
      </c>
      <c r="E173" s="18">
        <v>0</v>
      </c>
      <c r="J173" s="17"/>
    </row>
    <row r="174" spans="2:10" x14ac:dyDescent="0.25">
      <c r="B174" s="17">
        <f t="shared" si="2"/>
        <v>45179</v>
      </c>
      <c r="D174" s="18">
        <v>0</v>
      </c>
      <c r="E174" s="18">
        <v>0</v>
      </c>
      <c r="J174" s="17"/>
    </row>
    <row r="175" spans="2:10" x14ac:dyDescent="0.25">
      <c r="B175" s="17">
        <f t="shared" si="2"/>
        <v>45180</v>
      </c>
      <c r="D175" s="18">
        <v>0</v>
      </c>
      <c r="E175" s="18">
        <v>0</v>
      </c>
      <c r="J175" s="17"/>
    </row>
    <row r="176" spans="2:10" x14ac:dyDescent="0.25">
      <c r="B176" s="17">
        <f t="shared" si="2"/>
        <v>45181</v>
      </c>
      <c r="D176" s="18">
        <v>0</v>
      </c>
      <c r="E176" s="18">
        <v>0</v>
      </c>
      <c r="J176" s="17"/>
    </row>
    <row r="177" spans="2:10" x14ac:dyDescent="0.25">
      <c r="B177" s="17">
        <f t="shared" si="2"/>
        <v>45182</v>
      </c>
      <c r="D177" s="18">
        <v>0</v>
      </c>
      <c r="E177" s="18">
        <v>0</v>
      </c>
      <c r="J177" s="17"/>
    </row>
    <row r="178" spans="2:10" x14ac:dyDescent="0.25">
      <c r="B178" s="17">
        <f t="shared" si="2"/>
        <v>45183</v>
      </c>
      <c r="D178" s="18">
        <v>0</v>
      </c>
      <c r="E178" s="18">
        <v>0</v>
      </c>
      <c r="J178" s="17"/>
    </row>
    <row r="179" spans="2:10" x14ac:dyDescent="0.25">
      <c r="B179" s="17">
        <f t="shared" si="2"/>
        <v>45184</v>
      </c>
      <c r="D179" s="18">
        <v>0</v>
      </c>
      <c r="E179" s="18">
        <v>0</v>
      </c>
      <c r="J179" s="17"/>
    </row>
    <row r="180" spans="2:10" x14ac:dyDescent="0.25">
      <c r="B180" s="17">
        <f t="shared" si="2"/>
        <v>45185</v>
      </c>
      <c r="D180" s="18">
        <v>0</v>
      </c>
      <c r="E180" s="18">
        <v>0</v>
      </c>
      <c r="J180" s="17"/>
    </row>
    <row r="181" spans="2:10" x14ac:dyDescent="0.25">
      <c r="B181" s="17">
        <f t="shared" si="2"/>
        <v>45186</v>
      </c>
      <c r="D181" s="18">
        <v>0</v>
      </c>
      <c r="E181" s="18">
        <v>0</v>
      </c>
      <c r="J181" s="17"/>
    </row>
    <row r="182" spans="2:10" x14ac:dyDescent="0.25">
      <c r="B182" s="17">
        <f t="shared" si="2"/>
        <v>45187</v>
      </c>
      <c r="D182" s="18">
        <v>0</v>
      </c>
      <c r="E182" s="18">
        <v>0</v>
      </c>
      <c r="J182" s="17"/>
    </row>
    <row r="183" spans="2:10" x14ac:dyDescent="0.25">
      <c r="B183" s="17">
        <f t="shared" si="2"/>
        <v>45188</v>
      </c>
      <c r="D183" s="18">
        <v>0</v>
      </c>
      <c r="E183" s="18">
        <v>0</v>
      </c>
      <c r="J183" s="17"/>
    </row>
    <row r="184" spans="2:10" x14ac:dyDescent="0.25">
      <c r="B184" s="17">
        <f t="shared" si="2"/>
        <v>45189</v>
      </c>
      <c r="D184" s="18">
        <v>0</v>
      </c>
      <c r="E184" s="18">
        <v>0</v>
      </c>
      <c r="J184" s="17"/>
    </row>
    <row r="185" spans="2:10" x14ac:dyDescent="0.25">
      <c r="B185" s="17">
        <f t="shared" si="2"/>
        <v>45190</v>
      </c>
      <c r="D185" s="18">
        <v>0</v>
      </c>
      <c r="E185" s="18">
        <v>0</v>
      </c>
      <c r="J185" s="17"/>
    </row>
    <row r="186" spans="2:10" x14ac:dyDescent="0.25">
      <c r="B186" s="17">
        <f t="shared" si="2"/>
        <v>45191</v>
      </c>
      <c r="D186" s="18">
        <v>0</v>
      </c>
      <c r="E186" s="18">
        <v>0</v>
      </c>
      <c r="J186" s="17"/>
    </row>
    <row r="187" spans="2:10" x14ac:dyDescent="0.25">
      <c r="B187" s="17">
        <f t="shared" si="2"/>
        <v>45192</v>
      </c>
      <c r="D187" s="18">
        <v>0</v>
      </c>
      <c r="E187" s="18">
        <v>0</v>
      </c>
      <c r="J187" s="17"/>
    </row>
    <row r="188" spans="2:10" x14ac:dyDescent="0.25">
      <c r="B188" s="17">
        <f t="shared" si="2"/>
        <v>45193</v>
      </c>
      <c r="D188" s="18">
        <v>0</v>
      </c>
      <c r="E188" s="18">
        <v>0</v>
      </c>
      <c r="J188" s="17"/>
    </row>
    <row r="189" spans="2:10" x14ac:dyDescent="0.25">
      <c r="B189" s="17">
        <f t="shared" si="2"/>
        <v>45194</v>
      </c>
      <c r="D189" s="18">
        <v>0</v>
      </c>
      <c r="E189" s="18">
        <v>0</v>
      </c>
      <c r="J189" s="17"/>
    </row>
    <row r="190" spans="2:10" x14ac:dyDescent="0.25">
      <c r="B190" s="17">
        <f t="shared" si="2"/>
        <v>45195</v>
      </c>
      <c r="D190" s="18">
        <v>0</v>
      </c>
      <c r="E190" s="18">
        <v>0</v>
      </c>
      <c r="J190" s="17"/>
    </row>
    <row r="191" spans="2:10" x14ac:dyDescent="0.25">
      <c r="B191" s="17">
        <f t="shared" si="2"/>
        <v>45196</v>
      </c>
      <c r="D191" s="18">
        <v>0</v>
      </c>
      <c r="E191" s="18">
        <v>0</v>
      </c>
      <c r="J191" s="17"/>
    </row>
    <row r="192" spans="2:10" x14ac:dyDescent="0.25">
      <c r="B192" s="17">
        <f t="shared" si="2"/>
        <v>45197</v>
      </c>
      <c r="D192" s="18">
        <v>0</v>
      </c>
      <c r="E192" s="18">
        <v>0</v>
      </c>
      <c r="J192" s="17"/>
    </row>
    <row r="193" spans="2:10" x14ac:dyDescent="0.25">
      <c r="B193" s="17">
        <f t="shared" si="2"/>
        <v>45198</v>
      </c>
      <c r="D193" s="18">
        <v>0</v>
      </c>
      <c r="E193" s="18">
        <v>0</v>
      </c>
      <c r="J193" s="17"/>
    </row>
    <row r="194" spans="2:10" x14ac:dyDescent="0.25">
      <c r="B194" s="17">
        <f t="shared" si="2"/>
        <v>45199</v>
      </c>
      <c r="D194" s="18">
        <v>0</v>
      </c>
      <c r="E194" s="18">
        <v>0</v>
      </c>
      <c r="J194" s="17"/>
    </row>
    <row r="195" spans="2:10" x14ac:dyDescent="0.25">
      <c r="B195" s="17">
        <f t="shared" si="2"/>
        <v>45200</v>
      </c>
      <c r="D195" s="18">
        <v>0</v>
      </c>
      <c r="E195" s="18">
        <v>0</v>
      </c>
      <c r="J195" s="17"/>
    </row>
    <row r="196" spans="2:10" x14ac:dyDescent="0.25">
      <c r="B196" s="17">
        <f t="shared" si="2"/>
        <v>45201</v>
      </c>
      <c r="D196" s="18">
        <v>0</v>
      </c>
      <c r="E196" s="18">
        <v>0</v>
      </c>
      <c r="J196" s="17"/>
    </row>
    <row r="197" spans="2:10" x14ac:dyDescent="0.25">
      <c r="B197" s="17">
        <f t="shared" si="2"/>
        <v>45202</v>
      </c>
      <c r="D197" s="18">
        <v>0</v>
      </c>
      <c r="E197" s="18">
        <v>0</v>
      </c>
      <c r="J197" s="17"/>
    </row>
    <row r="198" spans="2:10" x14ac:dyDescent="0.25">
      <c r="B198" s="17">
        <f t="shared" si="2"/>
        <v>45203</v>
      </c>
      <c r="D198" s="18">
        <v>0</v>
      </c>
      <c r="E198" s="18">
        <v>0</v>
      </c>
      <c r="J198" s="17"/>
    </row>
    <row r="199" spans="2:10" x14ac:dyDescent="0.25">
      <c r="B199" s="17">
        <f t="shared" si="2"/>
        <v>45204</v>
      </c>
      <c r="D199" s="18">
        <v>0</v>
      </c>
      <c r="E199" s="18">
        <v>0</v>
      </c>
      <c r="J199" s="17"/>
    </row>
    <row r="200" spans="2:10" x14ac:dyDescent="0.25">
      <c r="B200" s="17">
        <f t="shared" si="2"/>
        <v>45205</v>
      </c>
      <c r="D200" s="18">
        <v>0</v>
      </c>
      <c r="E200" s="18">
        <v>0</v>
      </c>
      <c r="J200" s="17"/>
    </row>
    <row r="201" spans="2:10" x14ac:dyDescent="0.25">
      <c r="B201" s="17">
        <f t="shared" si="2"/>
        <v>45206</v>
      </c>
      <c r="D201" s="18">
        <v>0</v>
      </c>
      <c r="E201" s="18">
        <v>0</v>
      </c>
      <c r="J201" s="17"/>
    </row>
    <row r="202" spans="2:10" x14ac:dyDescent="0.25">
      <c r="B202" s="17">
        <f t="shared" si="2"/>
        <v>45207</v>
      </c>
      <c r="D202" s="18">
        <v>0</v>
      </c>
      <c r="E202" s="18">
        <v>0</v>
      </c>
      <c r="J202" s="17"/>
    </row>
    <row r="203" spans="2:10" x14ac:dyDescent="0.25">
      <c r="B203" s="17">
        <f t="shared" si="2"/>
        <v>45208</v>
      </c>
      <c r="D203" s="18">
        <v>0</v>
      </c>
      <c r="E203" s="18">
        <v>0</v>
      </c>
      <c r="J203" s="17"/>
    </row>
    <row r="204" spans="2:10" x14ac:dyDescent="0.25">
      <c r="B204" s="17">
        <f t="shared" si="2"/>
        <v>45209</v>
      </c>
      <c r="D204" s="18">
        <v>0</v>
      </c>
      <c r="E204" s="18">
        <v>0</v>
      </c>
      <c r="J204" s="17"/>
    </row>
    <row r="205" spans="2:10" x14ac:dyDescent="0.25">
      <c r="B205" s="17">
        <f t="shared" si="2"/>
        <v>45210</v>
      </c>
      <c r="D205" s="18">
        <v>0</v>
      </c>
      <c r="E205" s="18">
        <v>0</v>
      </c>
      <c r="J205" s="17"/>
    </row>
    <row r="206" spans="2:10" x14ac:dyDescent="0.25">
      <c r="B206" s="17">
        <f t="shared" ref="B206:B269" si="3">B205+1</f>
        <v>45211</v>
      </c>
      <c r="D206" s="18">
        <v>0</v>
      </c>
      <c r="E206" s="18">
        <v>0</v>
      </c>
      <c r="J206" s="17"/>
    </row>
    <row r="207" spans="2:10" x14ac:dyDescent="0.25">
      <c r="B207" s="17">
        <f t="shared" si="3"/>
        <v>45212</v>
      </c>
      <c r="D207" s="18">
        <v>0</v>
      </c>
      <c r="E207" s="18">
        <v>0</v>
      </c>
      <c r="J207" s="17"/>
    </row>
    <row r="208" spans="2:10" x14ac:dyDescent="0.25">
      <c r="B208" s="17">
        <f t="shared" si="3"/>
        <v>45213</v>
      </c>
      <c r="D208" s="18">
        <v>0</v>
      </c>
      <c r="E208" s="18">
        <v>0</v>
      </c>
      <c r="J208" s="17"/>
    </row>
    <row r="209" spans="2:10" x14ac:dyDescent="0.25">
      <c r="B209" s="17">
        <f t="shared" si="3"/>
        <v>45214</v>
      </c>
      <c r="D209" s="18">
        <v>0</v>
      </c>
      <c r="E209" s="18">
        <v>0</v>
      </c>
      <c r="J209" s="17"/>
    </row>
    <row r="210" spans="2:10" x14ac:dyDescent="0.25">
      <c r="B210" s="17">
        <f t="shared" si="3"/>
        <v>45215</v>
      </c>
      <c r="D210" s="18">
        <v>0</v>
      </c>
      <c r="E210" s="18">
        <v>0</v>
      </c>
      <c r="J210" s="17"/>
    </row>
    <row r="211" spans="2:10" x14ac:dyDescent="0.25">
      <c r="B211" s="17">
        <f t="shared" si="3"/>
        <v>45216</v>
      </c>
      <c r="D211" s="18">
        <v>0</v>
      </c>
      <c r="E211" s="18">
        <v>0</v>
      </c>
      <c r="J211" s="17"/>
    </row>
    <row r="212" spans="2:10" x14ac:dyDescent="0.25">
      <c r="B212" s="17">
        <f t="shared" si="3"/>
        <v>45217</v>
      </c>
      <c r="D212" s="18">
        <v>0</v>
      </c>
      <c r="E212" s="18">
        <v>0</v>
      </c>
      <c r="J212" s="17"/>
    </row>
    <row r="213" spans="2:10" x14ac:dyDescent="0.25">
      <c r="B213" s="17">
        <f t="shared" si="3"/>
        <v>45218</v>
      </c>
      <c r="D213" s="18">
        <v>0</v>
      </c>
      <c r="E213" s="18">
        <v>0</v>
      </c>
      <c r="J213" s="17"/>
    </row>
    <row r="214" spans="2:10" x14ac:dyDescent="0.25">
      <c r="B214" s="17">
        <f t="shared" si="3"/>
        <v>45219</v>
      </c>
      <c r="D214" s="18">
        <v>0</v>
      </c>
      <c r="E214" s="18">
        <v>0</v>
      </c>
      <c r="J214" s="17"/>
    </row>
    <row r="215" spans="2:10" x14ac:dyDescent="0.25">
      <c r="B215" s="17">
        <f t="shared" si="3"/>
        <v>45220</v>
      </c>
      <c r="D215" s="18">
        <v>0</v>
      </c>
      <c r="E215" s="18">
        <v>0</v>
      </c>
      <c r="J215" s="17"/>
    </row>
    <row r="216" spans="2:10" x14ac:dyDescent="0.25">
      <c r="B216" s="17">
        <f t="shared" si="3"/>
        <v>45221</v>
      </c>
      <c r="D216" s="18">
        <v>0</v>
      </c>
      <c r="E216" s="18">
        <v>0</v>
      </c>
      <c r="J216" s="17"/>
    </row>
    <row r="217" spans="2:10" x14ac:dyDescent="0.25">
      <c r="B217" s="17">
        <f t="shared" si="3"/>
        <v>45222</v>
      </c>
      <c r="D217" s="18">
        <v>0</v>
      </c>
      <c r="E217" s="18">
        <v>0</v>
      </c>
      <c r="J217" s="17"/>
    </row>
    <row r="218" spans="2:10" x14ac:dyDescent="0.25">
      <c r="B218" s="17">
        <f t="shared" si="3"/>
        <v>45223</v>
      </c>
      <c r="D218" s="18">
        <v>0</v>
      </c>
      <c r="E218" s="18">
        <v>0</v>
      </c>
      <c r="J218" s="17"/>
    </row>
    <row r="219" spans="2:10" x14ac:dyDescent="0.25">
      <c r="B219" s="17">
        <f t="shared" si="3"/>
        <v>45224</v>
      </c>
      <c r="D219" s="18">
        <v>0</v>
      </c>
      <c r="E219" s="18">
        <v>0</v>
      </c>
      <c r="J219" s="17"/>
    </row>
    <row r="220" spans="2:10" x14ac:dyDescent="0.25">
      <c r="B220" s="17">
        <f t="shared" si="3"/>
        <v>45225</v>
      </c>
      <c r="D220" s="18">
        <v>0</v>
      </c>
      <c r="E220" s="18">
        <v>0</v>
      </c>
      <c r="J220" s="17"/>
    </row>
    <row r="221" spans="2:10" x14ac:dyDescent="0.25">
      <c r="B221" s="17">
        <f t="shared" si="3"/>
        <v>45226</v>
      </c>
      <c r="D221" s="18">
        <v>0</v>
      </c>
      <c r="E221" s="18">
        <v>0</v>
      </c>
      <c r="J221" s="17"/>
    </row>
    <row r="222" spans="2:10" x14ac:dyDescent="0.25">
      <c r="B222" s="17">
        <f t="shared" si="3"/>
        <v>45227</v>
      </c>
      <c r="D222" s="18">
        <v>0</v>
      </c>
      <c r="E222" s="18">
        <v>0</v>
      </c>
      <c r="J222" s="17"/>
    </row>
    <row r="223" spans="2:10" x14ac:dyDescent="0.25">
      <c r="B223" s="17">
        <f t="shared" si="3"/>
        <v>45228</v>
      </c>
      <c r="D223" s="18">
        <v>0</v>
      </c>
      <c r="E223" s="18">
        <v>0</v>
      </c>
      <c r="J223" s="17"/>
    </row>
    <row r="224" spans="2:10" x14ac:dyDescent="0.25">
      <c r="B224" s="17">
        <f t="shared" si="3"/>
        <v>45229</v>
      </c>
      <c r="D224" s="18">
        <v>0</v>
      </c>
      <c r="E224" s="18">
        <v>0</v>
      </c>
      <c r="J224" s="17"/>
    </row>
    <row r="225" spans="2:10" x14ac:dyDescent="0.25">
      <c r="B225" s="17">
        <f t="shared" si="3"/>
        <v>45230</v>
      </c>
      <c r="D225" s="18">
        <v>0</v>
      </c>
      <c r="E225" s="18">
        <v>0</v>
      </c>
      <c r="J225" s="17"/>
    </row>
    <row r="226" spans="2:10" x14ac:dyDescent="0.25">
      <c r="B226" s="17">
        <f t="shared" si="3"/>
        <v>45231</v>
      </c>
      <c r="D226" s="18">
        <v>0</v>
      </c>
      <c r="E226" s="18">
        <v>0</v>
      </c>
      <c r="J226" s="17"/>
    </row>
    <row r="227" spans="2:10" x14ac:dyDescent="0.25">
      <c r="B227" s="17">
        <f t="shared" si="3"/>
        <v>45232</v>
      </c>
      <c r="D227" s="18">
        <v>0</v>
      </c>
      <c r="E227" s="18">
        <v>0</v>
      </c>
      <c r="J227" s="17"/>
    </row>
    <row r="228" spans="2:10" x14ac:dyDescent="0.25">
      <c r="B228" s="17">
        <f t="shared" si="3"/>
        <v>45233</v>
      </c>
      <c r="D228" s="18">
        <v>0</v>
      </c>
      <c r="E228" s="18">
        <v>0</v>
      </c>
      <c r="J228" s="17"/>
    </row>
    <row r="229" spans="2:10" x14ac:dyDescent="0.25">
      <c r="B229" s="17">
        <f t="shared" si="3"/>
        <v>45234</v>
      </c>
      <c r="D229" s="18">
        <v>0</v>
      </c>
      <c r="E229" s="18">
        <v>0</v>
      </c>
      <c r="J229" s="17"/>
    </row>
    <row r="230" spans="2:10" x14ac:dyDescent="0.25">
      <c r="B230" s="17">
        <f t="shared" si="3"/>
        <v>45235</v>
      </c>
      <c r="D230" s="18">
        <v>0</v>
      </c>
      <c r="E230" s="18">
        <v>0</v>
      </c>
      <c r="J230" s="17"/>
    </row>
    <row r="231" spans="2:10" x14ac:dyDescent="0.25">
      <c r="B231" s="17">
        <f t="shared" si="3"/>
        <v>45236</v>
      </c>
      <c r="D231" s="18">
        <v>0</v>
      </c>
      <c r="E231" s="18">
        <v>0</v>
      </c>
      <c r="J231" s="17"/>
    </row>
    <row r="232" spans="2:10" x14ac:dyDescent="0.25">
      <c r="B232" s="17">
        <f t="shared" si="3"/>
        <v>45237</v>
      </c>
      <c r="D232" s="18">
        <v>0</v>
      </c>
      <c r="E232" s="18">
        <v>0</v>
      </c>
      <c r="J232" s="17"/>
    </row>
    <row r="233" spans="2:10" x14ac:dyDescent="0.25">
      <c r="B233" s="17">
        <f t="shared" si="3"/>
        <v>45238</v>
      </c>
      <c r="D233" s="18">
        <v>0</v>
      </c>
      <c r="E233" s="18">
        <v>0</v>
      </c>
      <c r="J233" s="17"/>
    </row>
    <row r="234" spans="2:10" x14ac:dyDescent="0.25">
      <c r="B234" s="17">
        <f t="shared" si="3"/>
        <v>45239</v>
      </c>
      <c r="D234" s="18">
        <v>0</v>
      </c>
      <c r="E234" s="18">
        <v>0</v>
      </c>
      <c r="J234" s="17"/>
    </row>
    <row r="235" spans="2:10" x14ac:dyDescent="0.25">
      <c r="B235" s="17">
        <f t="shared" si="3"/>
        <v>45240</v>
      </c>
      <c r="D235" s="18">
        <v>0</v>
      </c>
      <c r="E235" s="18">
        <v>0</v>
      </c>
      <c r="J235" s="17"/>
    </row>
    <row r="236" spans="2:10" x14ac:dyDescent="0.25">
      <c r="B236" s="17">
        <f t="shared" si="3"/>
        <v>45241</v>
      </c>
      <c r="D236" s="18">
        <v>0</v>
      </c>
      <c r="E236" s="18">
        <v>0</v>
      </c>
      <c r="J236" s="17"/>
    </row>
    <row r="237" spans="2:10" x14ac:dyDescent="0.25">
      <c r="B237" s="17">
        <f t="shared" si="3"/>
        <v>45242</v>
      </c>
      <c r="D237" s="18">
        <v>0</v>
      </c>
      <c r="E237" s="18">
        <v>0</v>
      </c>
      <c r="J237" s="17"/>
    </row>
    <row r="238" spans="2:10" x14ac:dyDescent="0.25">
      <c r="B238" s="17">
        <f t="shared" si="3"/>
        <v>45243</v>
      </c>
      <c r="D238" s="18">
        <v>0</v>
      </c>
      <c r="E238" s="18">
        <v>0</v>
      </c>
      <c r="J238" s="17"/>
    </row>
    <row r="239" spans="2:10" x14ac:dyDescent="0.25">
      <c r="B239" s="17">
        <f t="shared" si="3"/>
        <v>45244</v>
      </c>
      <c r="D239" s="18">
        <v>0</v>
      </c>
      <c r="E239" s="18">
        <v>0</v>
      </c>
      <c r="J239" s="17"/>
    </row>
    <row r="240" spans="2:10" x14ac:dyDescent="0.25">
      <c r="B240" s="17">
        <f t="shared" si="3"/>
        <v>45245</v>
      </c>
      <c r="D240" s="18">
        <v>0</v>
      </c>
      <c r="E240" s="18">
        <v>0</v>
      </c>
      <c r="J240" s="17"/>
    </row>
    <row r="241" spans="2:10" x14ac:dyDescent="0.25">
      <c r="B241" s="17">
        <f t="shared" si="3"/>
        <v>45246</v>
      </c>
      <c r="D241" s="18">
        <v>0</v>
      </c>
      <c r="E241" s="18">
        <v>0</v>
      </c>
      <c r="J241" s="17"/>
    </row>
    <row r="242" spans="2:10" x14ac:dyDescent="0.25">
      <c r="B242" s="17">
        <f t="shared" si="3"/>
        <v>45247</v>
      </c>
      <c r="D242" s="18">
        <v>0</v>
      </c>
      <c r="E242" s="18">
        <v>0</v>
      </c>
      <c r="J242" s="17"/>
    </row>
    <row r="243" spans="2:10" x14ac:dyDescent="0.25">
      <c r="B243" s="17">
        <f t="shared" si="3"/>
        <v>45248</v>
      </c>
      <c r="D243" s="18">
        <v>0</v>
      </c>
      <c r="E243" s="18">
        <v>0</v>
      </c>
      <c r="J243" s="17"/>
    </row>
    <row r="244" spans="2:10" x14ac:dyDescent="0.25">
      <c r="B244" s="17">
        <f t="shared" si="3"/>
        <v>45249</v>
      </c>
      <c r="D244" s="18">
        <v>0</v>
      </c>
      <c r="E244" s="18">
        <v>0</v>
      </c>
      <c r="J244" s="17"/>
    </row>
    <row r="245" spans="2:10" x14ac:dyDescent="0.25">
      <c r="B245" s="17">
        <f t="shared" si="3"/>
        <v>45250</v>
      </c>
      <c r="D245" s="18">
        <v>0</v>
      </c>
      <c r="E245" s="18">
        <v>0</v>
      </c>
      <c r="J245" s="17"/>
    </row>
    <row r="246" spans="2:10" x14ac:dyDescent="0.25">
      <c r="B246" s="17">
        <f t="shared" si="3"/>
        <v>45251</v>
      </c>
      <c r="D246" s="18">
        <v>0</v>
      </c>
      <c r="E246" s="18">
        <v>0</v>
      </c>
      <c r="J246" s="17"/>
    </row>
    <row r="247" spans="2:10" x14ac:dyDescent="0.25">
      <c r="B247" s="17">
        <f t="shared" si="3"/>
        <v>45252</v>
      </c>
      <c r="D247" s="18">
        <v>0</v>
      </c>
      <c r="E247" s="18">
        <v>0</v>
      </c>
      <c r="J247" s="17"/>
    </row>
    <row r="248" spans="2:10" x14ac:dyDescent="0.25">
      <c r="B248" s="17">
        <f t="shared" si="3"/>
        <v>45253</v>
      </c>
      <c r="D248" s="18">
        <v>0</v>
      </c>
      <c r="E248" s="18">
        <v>0</v>
      </c>
      <c r="J248" s="17"/>
    </row>
    <row r="249" spans="2:10" x14ac:dyDescent="0.25">
      <c r="B249" s="17">
        <f t="shared" si="3"/>
        <v>45254</v>
      </c>
      <c r="D249" s="18">
        <v>0</v>
      </c>
      <c r="E249" s="18">
        <v>0</v>
      </c>
      <c r="J249" s="17"/>
    </row>
    <row r="250" spans="2:10" x14ac:dyDescent="0.25">
      <c r="B250" s="17">
        <f t="shared" si="3"/>
        <v>45255</v>
      </c>
      <c r="D250" s="18">
        <v>0</v>
      </c>
      <c r="E250" s="18">
        <v>0</v>
      </c>
      <c r="J250" s="17"/>
    </row>
    <row r="251" spans="2:10" x14ac:dyDescent="0.25">
      <c r="B251" s="17">
        <f t="shared" si="3"/>
        <v>45256</v>
      </c>
      <c r="D251" s="18">
        <v>0</v>
      </c>
      <c r="E251" s="18">
        <v>0</v>
      </c>
      <c r="J251" s="17"/>
    </row>
    <row r="252" spans="2:10" x14ac:dyDescent="0.25">
      <c r="B252" s="17">
        <f t="shared" si="3"/>
        <v>45257</v>
      </c>
      <c r="D252" s="18">
        <v>0</v>
      </c>
      <c r="E252" s="18">
        <v>0</v>
      </c>
      <c r="J252" s="17"/>
    </row>
    <row r="253" spans="2:10" x14ac:dyDescent="0.25">
      <c r="B253" s="17">
        <f t="shared" si="3"/>
        <v>45258</v>
      </c>
      <c r="D253" s="18">
        <v>0</v>
      </c>
      <c r="E253" s="18">
        <v>0</v>
      </c>
      <c r="J253" s="17"/>
    </row>
    <row r="254" spans="2:10" x14ac:dyDescent="0.25">
      <c r="B254" s="17">
        <f t="shared" si="3"/>
        <v>45259</v>
      </c>
      <c r="D254" s="18">
        <v>0</v>
      </c>
      <c r="E254" s="18">
        <v>0</v>
      </c>
      <c r="J254" s="17"/>
    </row>
    <row r="255" spans="2:10" x14ac:dyDescent="0.25">
      <c r="B255" s="17">
        <f t="shared" si="3"/>
        <v>45260</v>
      </c>
      <c r="D255" s="18">
        <v>0</v>
      </c>
      <c r="E255" s="18">
        <v>0</v>
      </c>
      <c r="J255" s="17"/>
    </row>
    <row r="256" spans="2:10" x14ac:dyDescent="0.25">
      <c r="B256" s="17">
        <f t="shared" si="3"/>
        <v>45261</v>
      </c>
      <c r="D256" s="18">
        <v>0</v>
      </c>
      <c r="E256" s="18">
        <v>0</v>
      </c>
      <c r="J256" s="17"/>
    </row>
    <row r="257" spans="2:10" x14ac:dyDescent="0.25">
      <c r="B257" s="17">
        <f t="shared" si="3"/>
        <v>45262</v>
      </c>
      <c r="D257" s="18">
        <v>0</v>
      </c>
      <c r="E257" s="18">
        <v>0</v>
      </c>
      <c r="J257" s="17"/>
    </row>
    <row r="258" spans="2:10" x14ac:dyDescent="0.25">
      <c r="B258" s="17">
        <f t="shared" si="3"/>
        <v>45263</v>
      </c>
      <c r="D258" s="18">
        <v>0</v>
      </c>
      <c r="E258" s="18">
        <v>0</v>
      </c>
      <c r="J258" s="17"/>
    </row>
    <row r="259" spans="2:10" x14ac:dyDescent="0.25">
      <c r="B259" s="17">
        <f t="shared" si="3"/>
        <v>45264</v>
      </c>
      <c r="D259" s="18">
        <v>0</v>
      </c>
      <c r="E259" s="18">
        <v>0</v>
      </c>
      <c r="J259" s="17"/>
    </row>
    <row r="260" spans="2:10" x14ac:dyDescent="0.25">
      <c r="B260" s="17">
        <f t="shared" si="3"/>
        <v>45265</v>
      </c>
      <c r="D260" s="18">
        <v>0</v>
      </c>
      <c r="E260" s="18">
        <v>0</v>
      </c>
      <c r="J260" s="17"/>
    </row>
    <row r="261" spans="2:10" x14ac:dyDescent="0.25">
      <c r="B261" s="17">
        <f t="shared" si="3"/>
        <v>45266</v>
      </c>
      <c r="D261" s="18">
        <v>0</v>
      </c>
      <c r="E261" s="18">
        <v>0</v>
      </c>
      <c r="J261" s="17"/>
    </row>
    <row r="262" spans="2:10" x14ac:dyDescent="0.25">
      <c r="B262" s="17">
        <f t="shared" si="3"/>
        <v>45267</v>
      </c>
      <c r="D262" s="18">
        <v>0</v>
      </c>
      <c r="E262" s="18">
        <v>0</v>
      </c>
      <c r="J262" s="17"/>
    </row>
    <row r="263" spans="2:10" x14ac:dyDescent="0.25">
      <c r="B263" s="17">
        <f t="shared" si="3"/>
        <v>45268</v>
      </c>
      <c r="D263" s="18">
        <v>0</v>
      </c>
      <c r="E263" s="18">
        <v>0</v>
      </c>
      <c r="J263" s="17"/>
    </row>
    <row r="264" spans="2:10" x14ac:dyDescent="0.25">
      <c r="B264" s="17">
        <f t="shared" si="3"/>
        <v>45269</v>
      </c>
      <c r="D264" s="18">
        <v>0</v>
      </c>
      <c r="E264" s="18">
        <v>0</v>
      </c>
      <c r="J264" s="17"/>
    </row>
    <row r="265" spans="2:10" x14ac:dyDescent="0.25">
      <c r="B265" s="17">
        <f t="shared" si="3"/>
        <v>45270</v>
      </c>
      <c r="D265" s="18">
        <v>0</v>
      </c>
      <c r="E265" s="18">
        <v>0</v>
      </c>
      <c r="J265" s="17"/>
    </row>
    <row r="266" spans="2:10" x14ac:dyDescent="0.25">
      <c r="B266" s="17">
        <f t="shared" si="3"/>
        <v>45271</v>
      </c>
      <c r="D266" s="18">
        <v>0</v>
      </c>
      <c r="E266" s="18">
        <v>0</v>
      </c>
      <c r="J266" s="17"/>
    </row>
    <row r="267" spans="2:10" x14ac:dyDescent="0.25">
      <c r="B267" s="17">
        <f t="shared" si="3"/>
        <v>45272</v>
      </c>
      <c r="D267" s="18">
        <v>0</v>
      </c>
      <c r="E267" s="18">
        <v>0</v>
      </c>
      <c r="J267" s="17"/>
    </row>
    <row r="268" spans="2:10" x14ac:dyDescent="0.25">
      <c r="B268" s="17">
        <f t="shared" si="3"/>
        <v>45273</v>
      </c>
      <c r="D268" s="18">
        <v>0</v>
      </c>
      <c r="E268" s="18">
        <v>0</v>
      </c>
      <c r="J268" s="17"/>
    </row>
    <row r="269" spans="2:10" x14ac:dyDescent="0.25">
      <c r="B269" s="17">
        <f t="shared" si="3"/>
        <v>45274</v>
      </c>
      <c r="D269" s="18">
        <v>0</v>
      </c>
      <c r="E269" s="18">
        <v>0</v>
      </c>
      <c r="J269" s="17"/>
    </row>
    <row r="270" spans="2:10" x14ac:dyDescent="0.25">
      <c r="B270" s="17">
        <f t="shared" ref="B270:B333" si="4">B269+1</f>
        <v>45275</v>
      </c>
      <c r="D270" s="18">
        <v>0</v>
      </c>
      <c r="E270" s="18">
        <v>0</v>
      </c>
      <c r="J270" s="17"/>
    </row>
    <row r="271" spans="2:10" x14ac:dyDescent="0.25">
      <c r="B271" s="17">
        <f t="shared" si="4"/>
        <v>45276</v>
      </c>
      <c r="D271" s="18">
        <v>0</v>
      </c>
      <c r="E271" s="18">
        <v>0</v>
      </c>
      <c r="J271" s="17"/>
    </row>
    <row r="272" spans="2:10" x14ac:dyDescent="0.25">
      <c r="B272" s="17">
        <f t="shared" si="4"/>
        <v>45277</v>
      </c>
      <c r="D272" s="18">
        <v>0</v>
      </c>
      <c r="E272" s="18">
        <v>0</v>
      </c>
      <c r="J272" s="17"/>
    </row>
    <row r="273" spans="2:10" x14ac:dyDescent="0.25">
      <c r="B273" s="17">
        <f t="shared" si="4"/>
        <v>45278</v>
      </c>
      <c r="D273" s="18">
        <v>0</v>
      </c>
      <c r="E273" s="18">
        <v>0</v>
      </c>
      <c r="J273" s="17"/>
    </row>
    <row r="274" spans="2:10" x14ac:dyDescent="0.25">
      <c r="B274" s="17">
        <f t="shared" si="4"/>
        <v>45279</v>
      </c>
      <c r="D274" s="18">
        <v>0</v>
      </c>
      <c r="E274" s="18">
        <v>0</v>
      </c>
      <c r="J274" s="17"/>
    </row>
    <row r="275" spans="2:10" x14ac:dyDescent="0.25">
      <c r="B275" s="17">
        <f t="shared" si="4"/>
        <v>45280</v>
      </c>
      <c r="D275" s="18">
        <v>0</v>
      </c>
      <c r="E275" s="18">
        <v>0</v>
      </c>
      <c r="J275" s="17"/>
    </row>
    <row r="276" spans="2:10" x14ac:dyDescent="0.25">
      <c r="B276" s="17">
        <f t="shared" si="4"/>
        <v>45281</v>
      </c>
      <c r="D276" s="18">
        <v>0</v>
      </c>
      <c r="E276" s="18">
        <v>0</v>
      </c>
      <c r="J276" s="17"/>
    </row>
    <row r="277" spans="2:10" x14ac:dyDescent="0.25">
      <c r="B277" s="17">
        <f t="shared" si="4"/>
        <v>45282</v>
      </c>
      <c r="D277" s="18">
        <v>0</v>
      </c>
      <c r="E277" s="18">
        <v>0</v>
      </c>
      <c r="J277" s="17"/>
    </row>
    <row r="278" spans="2:10" x14ac:dyDescent="0.25">
      <c r="B278" s="17">
        <f t="shared" si="4"/>
        <v>45283</v>
      </c>
      <c r="D278" s="18">
        <v>0</v>
      </c>
      <c r="E278" s="18">
        <v>0</v>
      </c>
      <c r="J278" s="17"/>
    </row>
    <row r="279" spans="2:10" x14ac:dyDescent="0.25">
      <c r="B279" s="17">
        <f t="shared" si="4"/>
        <v>45284</v>
      </c>
      <c r="D279" s="18">
        <v>0</v>
      </c>
      <c r="E279" s="18">
        <v>0</v>
      </c>
      <c r="J279" s="17"/>
    </row>
    <row r="280" spans="2:10" x14ac:dyDescent="0.25">
      <c r="B280" s="17">
        <f t="shared" si="4"/>
        <v>45285</v>
      </c>
      <c r="D280" s="18">
        <v>0</v>
      </c>
      <c r="E280" s="18">
        <v>0</v>
      </c>
      <c r="J280" s="17"/>
    </row>
    <row r="281" spans="2:10" x14ac:dyDescent="0.25">
      <c r="B281" s="17">
        <f t="shared" si="4"/>
        <v>45286</v>
      </c>
      <c r="D281" s="18">
        <v>0</v>
      </c>
      <c r="E281" s="18">
        <v>0</v>
      </c>
      <c r="J281" s="17"/>
    </row>
    <row r="282" spans="2:10" x14ac:dyDescent="0.25">
      <c r="B282" s="17">
        <f t="shared" si="4"/>
        <v>45287</v>
      </c>
      <c r="D282" s="18">
        <v>0</v>
      </c>
      <c r="E282" s="18">
        <v>0</v>
      </c>
      <c r="J282" s="17"/>
    </row>
    <row r="283" spans="2:10" x14ac:dyDescent="0.25">
      <c r="B283" s="17">
        <f t="shared" si="4"/>
        <v>45288</v>
      </c>
      <c r="D283" s="18">
        <v>0</v>
      </c>
      <c r="E283" s="18">
        <v>0</v>
      </c>
      <c r="J283" s="17"/>
    </row>
    <row r="284" spans="2:10" x14ac:dyDescent="0.25">
      <c r="B284" s="17">
        <f t="shared" si="4"/>
        <v>45289</v>
      </c>
      <c r="D284" s="18">
        <v>0</v>
      </c>
      <c r="E284" s="18">
        <v>0</v>
      </c>
      <c r="J284" s="17"/>
    </row>
    <row r="285" spans="2:10" x14ac:dyDescent="0.25">
      <c r="B285" s="17">
        <f t="shared" si="4"/>
        <v>45290</v>
      </c>
      <c r="D285" s="18">
        <v>0</v>
      </c>
      <c r="E285" s="18">
        <v>0</v>
      </c>
      <c r="J285" s="17"/>
    </row>
    <row r="286" spans="2:10" x14ac:dyDescent="0.25">
      <c r="B286" s="17">
        <f t="shared" si="4"/>
        <v>45291</v>
      </c>
      <c r="D286" s="18">
        <v>0</v>
      </c>
      <c r="E286" s="18">
        <v>0</v>
      </c>
      <c r="J286" s="17"/>
    </row>
    <row r="287" spans="2:10" x14ac:dyDescent="0.25">
      <c r="B287" s="17">
        <f t="shared" si="4"/>
        <v>45292</v>
      </c>
      <c r="D287" s="18">
        <v>0</v>
      </c>
      <c r="E287" s="18">
        <v>0</v>
      </c>
      <c r="J287" s="17"/>
    </row>
    <row r="288" spans="2:10" x14ac:dyDescent="0.25">
      <c r="B288" s="17">
        <f t="shared" si="4"/>
        <v>45293</v>
      </c>
      <c r="D288" s="18">
        <v>0</v>
      </c>
      <c r="E288" s="18">
        <v>0</v>
      </c>
      <c r="J288" s="17"/>
    </row>
    <row r="289" spans="2:10" x14ac:dyDescent="0.25">
      <c r="B289" s="17">
        <f t="shared" si="4"/>
        <v>45294</v>
      </c>
      <c r="D289" s="18">
        <v>0</v>
      </c>
      <c r="E289" s="18">
        <v>0</v>
      </c>
      <c r="J289" s="17"/>
    </row>
    <row r="290" spans="2:10" x14ac:dyDescent="0.25">
      <c r="B290" s="17">
        <f t="shared" si="4"/>
        <v>45295</v>
      </c>
      <c r="D290" s="18">
        <v>0</v>
      </c>
      <c r="E290" s="18">
        <v>0</v>
      </c>
      <c r="J290" s="17"/>
    </row>
    <row r="291" spans="2:10" x14ac:dyDescent="0.25">
      <c r="B291" s="17">
        <f t="shared" si="4"/>
        <v>45296</v>
      </c>
      <c r="D291" s="18">
        <v>0</v>
      </c>
      <c r="E291" s="18">
        <v>0</v>
      </c>
      <c r="J291" s="17"/>
    </row>
    <row r="292" spans="2:10" x14ac:dyDescent="0.25">
      <c r="B292" s="17">
        <f t="shared" si="4"/>
        <v>45297</v>
      </c>
      <c r="D292" s="18">
        <v>0</v>
      </c>
      <c r="E292" s="18">
        <v>0</v>
      </c>
      <c r="J292" s="17"/>
    </row>
    <row r="293" spans="2:10" x14ac:dyDescent="0.25">
      <c r="B293" s="17">
        <f t="shared" si="4"/>
        <v>45298</v>
      </c>
      <c r="D293" s="18">
        <v>0</v>
      </c>
      <c r="E293" s="18">
        <v>0</v>
      </c>
      <c r="J293" s="17"/>
    </row>
    <row r="294" spans="2:10" x14ac:dyDescent="0.25">
      <c r="B294" s="17">
        <f t="shared" si="4"/>
        <v>45299</v>
      </c>
      <c r="D294" s="18">
        <v>0</v>
      </c>
      <c r="E294" s="18">
        <v>0</v>
      </c>
      <c r="J294" s="17"/>
    </row>
    <row r="295" spans="2:10" x14ac:dyDescent="0.25">
      <c r="B295" s="17">
        <f t="shared" si="4"/>
        <v>45300</v>
      </c>
      <c r="D295" s="18">
        <v>0</v>
      </c>
      <c r="E295" s="18">
        <v>0</v>
      </c>
      <c r="J295" s="17"/>
    </row>
    <row r="296" spans="2:10" x14ac:dyDescent="0.25">
      <c r="B296" s="17">
        <f t="shared" si="4"/>
        <v>45301</v>
      </c>
      <c r="D296" s="18">
        <v>0</v>
      </c>
      <c r="E296" s="18">
        <v>0</v>
      </c>
      <c r="J296" s="17"/>
    </row>
    <row r="297" spans="2:10" x14ac:dyDescent="0.25">
      <c r="B297" s="17">
        <f t="shared" si="4"/>
        <v>45302</v>
      </c>
      <c r="D297" s="18">
        <v>0</v>
      </c>
      <c r="E297" s="18">
        <v>0</v>
      </c>
      <c r="J297" s="17"/>
    </row>
    <row r="298" spans="2:10" x14ac:dyDescent="0.25">
      <c r="B298" s="17">
        <f t="shared" si="4"/>
        <v>45303</v>
      </c>
      <c r="D298" s="18">
        <v>0</v>
      </c>
      <c r="E298" s="18">
        <v>0</v>
      </c>
      <c r="J298" s="17"/>
    </row>
    <row r="299" spans="2:10" x14ac:dyDescent="0.25">
      <c r="B299" s="17">
        <f t="shared" si="4"/>
        <v>45304</v>
      </c>
      <c r="D299" s="18">
        <v>0</v>
      </c>
      <c r="E299" s="18">
        <v>0</v>
      </c>
      <c r="J299" s="17"/>
    </row>
    <row r="300" spans="2:10" x14ac:dyDescent="0.25">
      <c r="B300" s="17">
        <f t="shared" si="4"/>
        <v>45305</v>
      </c>
      <c r="D300" s="18">
        <v>0</v>
      </c>
      <c r="E300" s="18">
        <v>0</v>
      </c>
      <c r="J300" s="17"/>
    </row>
    <row r="301" spans="2:10" x14ac:dyDescent="0.25">
      <c r="B301" s="17">
        <f t="shared" si="4"/>
        <v>45306</v>
      </c>
      <c r="D301" s="18">
        <v>0</v>
      </c>
      <c r="E301" s="18">
        <v>0</v>
      </c>
      <c r="J301" s="17"/>
    </row>
    <row r="302" spans="2:10" x14ac:dyDescent="0.25">
      <c r="B302" s="17">
        <f t="shared" si="4"/>
        <v>45307</v>
      </c>
      <c r="D302" s="18">
        <v>0</v>
      </c>
      <c r="E302" s="18">
        <v>0</v>
      </c>
      <c r="J302" s="17"/>
    </row>
    <row r="303" spans="2:10" x14ac:dyDescent="0.25">
      <c r="B303" s="17">
        <f t="shared" si="4"/>
        <v>45308</v>
      </c>
      <c r="D303" s="18">
        <v>0</v>
      </c>
      <c r="E303" s="18">
        <v>0</v>
      </c>
      <c r="J303" s="17"/>
    </row>
    <row r="304" spans="2:10" x14ac:dyDescent="0.25">
      <c r="B304" s="17">
        <f t="shared" si="4"/>
        <v>45309</v>
      </c>
      <c r="D304" s="18">
        <v>0</v>
      </c>
      <c r="E304" s="18">
        <v>0</v>
      </c>
      <c r="J304" s="17"/>
    </row>
    <row r="305" spans="2:10" x14ac:dyDescent="0.25">
      <c r="B305" s="17">
        <f t="shared" si="4"/>
        <v>45310</v>
      </c>
      <c r="D305" s="18">
        <v>0</v>
      </c>
      <c r="E305" s="18">
        <v>0</v>
      </c>
      <c r="J305" s="17"/>
    </row>
    <row r="306" spans="2:10" x14ac:dyDescent="0.25">
      <c r="B306" s="17">
        <f t="shared" si="4"/>
        <v>45311</v>
      </c>
      <c r="D306" s="18">
        <v>0</v>
      </c>
      <c r="E306" s="18">
        <v>0</v>
      </c>
      <c r="J306" s="17"/>
    </row>
    <row r="307" spans="2:10" x14ac:dyDescent="0.25">
      <c r="B307" s="17">
        <f t="shared" si="4"/>
        <v>45312</v>
      </c>
      <c r="D307" s="18">
        <v>0</v>
      </c>
      <c r="E307" s="18">
        <v>0</v>
      </c>
      <c r="J307" s="17"/>
    </row>
    <row r="308" spans="2:10" x14ac:dyDescent="0.25">
      <c r="B308" s="17">
        <f t="shared" si="4"/>
        <v>45313</v>
      </c>
      <c r="D308" s="18">
        <v>0</v>
      </c>
      <c r="E308" s="18">
        <v>0</v>
      </c>
      <c r="J308" s="17"/>
    </row>
    <row r="309" spans="2:10" x14ac:dyDescent="0.25">
      <c r="B309" s="17">
        <f t="shared" si="4"/>
        <v>45314</v>
      </c>
      <c r="D309" s="18">
        <v>0</v>
      </c>
      <c r="E309" s="18">
        <v>0</v>
      </c>
      <c r="J309" s="17"/>
    </row>
    <row r="310" spans="2:10" x14ac:dyDescent="0.25">
      <c r="B310" s="17">
        <f t="shared" si="4"/>
        <v>45315</v>
      </c>
      <c r="D310" s="18">
        <v>0</v>
      </c>
      <c r="E310" s="18">
        <v>0</v>
      </c>
      <c r="J310" s="17"/>
    </row>
    <row r="311" spans="2:10" x14ac:dyDescent="0.25">
      <c r="B311" s="17">
        <f t="shared" si="4"/>
        <v>45316</v>
      </c>
      <c r="D311" s="18">
        <v>0</v>
      </c>
      <c r="E311" s="18">
        <v>0</v>
      </c>
      <c r="J311" s="17"/>
    </row>
    <row r="312" spans="2:10" x14ac:dyDescent="0.25">
      <c r="B312" s="17">
        <f t="shared" si="4"/>
        <v>45317</v>
      </c>
      <c r="D312" s="18">
        <v>0</v>
      </c>
      <c r="E312" s="18">
        <v>0</v>
      </c>
      <c r="J312" s="17"/>
    </row>
    <row r="313" spans="2:10" x14ac:dyDescent="0.25">
      <c r="B313" s="17">
        <f t="shared" si="4"/>
        <v>45318</v>
      </c>
      <c r="D313" s="18">
        <v>0</v>
      </c>
      <c r="E313" s="18">
        <v>0</v>
      </c>
      <c r="J313" s="17"/>
    </row>
    <row r="314" spans="2:10" x14ac:dyDescent="0.25">
      <c r="B314" s="17">
        <f t="shared" si="4"/>
        <v>45319</v>
      </c>
      <c r="D314" s="18">
        <v>0</v>
      </c>
      <c r="E314" s="18">
        <v>0</v>
      </c>
      <c r="J314" s="17"/>
    </row>
    <row r="315" spans="2:10" x14ac:dyDescent="0.25">
      <c r="B315" s="17">
        <f t="shared" si="4"/>
        <v>45320</v>
      </c>
      <c r="D315" s="18">
        <v>0</v>
      </c>
      <c r="E315" s="18">
        <v>0</v>
      </c>
      <c r="J315" s="17"/>
    </row>
    <row r="316" spans="2:10" x14ac:dyDescent="0.25">
      <c r="B316" s="17">
        <f t="shared" si="4"/>
        <v>45321</v>
      </c>
      <c r="D316" s="18">
        <v>0</v>
      </c>
      <c r="E316" s="18">
        <v>0</v>
      </c>
      <c r="J316" s="17"/>
    </row>
    <row r="317" spans="2:10" x14ac:dyDescent="0.25">
      <c r="B317" s="17">
        <f t="shared" si="4"/>
        <v>45322</v>
      </c>
      <c r="D317" s="18">
        <v>0</v>
      </c>
      <c r="E317" s="18">
        <v>0</v>
      </c>
      <c r="J317" s="17"/>
    </row>
    <row r="318" spans="2:10" x14ac:dyDescent="0.25">
      <c r="B318" s="17">
        <f t="shared" si="4"/>
        <v>45323</v>
      </c>
      <c r="D318" s="18">
        <v>0</v>
      </c>
      <c r="E318" s="18">
        <v>0</v>
      </c>
      <c r="J318" s="17"/>
    </row>
    <row r="319" spans="2:10" x14ac:dyDescent="0.25">
      <c r="B319" s="17">
        <f t="shared" si="4"/>
        <v>45324</v>
      </c>
      <c r="D319" s="18">
        <v>0</v>
      </c>
      <c r="E319" s="18">
        <v>0</v>
      </c>
      <c r="J319" s="17"/>
    </row>
    <row r="320" spans="2:10" x14ac:dyDescent="0.25">
      <c r="B320" s="17">
        <f t="shared" si="4"/>
        <v>45325</v>
      </c>
      <c r="D320" s="18">
        <v>0</v>
      </c>
      <c r="E320" s="18">
        <v>0</v>
      </c>
      <c r="J320" s="17"/>
    </row>
    <row r="321" spans="2:10" x14ac:dyDescent="0.25">
      <c r="B321" s="17">
        <f t="shared" si="4"/>
        <v>45326</v>
      </c>
      <c r="D321" s="18">
        <v>0</v>
      </c>
      <c r="E321" s="18">
        <v>0</v>
      </c>
      <c r="J321" s="17"/>
    </row>
    <row r="322" spans="2:10" x14ac:dyDescent="0.25">
      <c r="B322" s="17">
        <f t="shared" si="4"/>
        <v>45327</v>
      </c>
      <c r="D322" s="18">
        <v>0</v>
      </c>
      <c r="E322" s="18">
        <v>0</v>
      </c>
      <c r="J322" s="17"/>
    </row>
    <row r="323" spans="2:10" x14ac:dyDescent="0.25">
      <c r="B323" s="17">
        <f t="shared" si="4"/>
        <v>45328</v>
      </c>
      <c r="D323" s="18">
        <v>0</v>
      </c>
      <c r="E323" s="18">
        <v>0</v>
      </c>
      <c r="J323" s="17"/>
    </row>
    <row r="324" spans="2:10" x14ac:dyDescent="0.25">
      <c r="B324" s="17">
        <f t="shared" si="4"/>
        <v>45329</v>
      </c>
      <c r="D324" s="18">
        <v>0</v>
      </c>
      <c r="E324" s="18">
        <v>0</v>
      </c>
      <c r="J324" s="17"/>
    </row>
    <row r="325" spans="2:10" x14ac:dyDescent="0.25">
      <c r="B325" s="17">
        <f t="shared" si="4"/>
        <v>45330</v>
      </c>
      <c r="D325" s="18">
        <v>0</v>
      </c>
      <c r="E325" s="18">
        <v>0</v>
      </c>
      <c r="J325" s="17"/>
    </row>
    <row r="326" spans="2:10" x14ac:dyDescent="0.25">
      <c r="B326" s="17">
        <f t="shared" si="4"/>
        <v>45331</v>
      </c>
      <c r="D326" s="18">
        <v>0</v>
      </c>
      <c r="E326" s="18">
        <v>0</v>
      </c>
      <c r="J326" s="17"/>
    </row>
    <row r="327" spans="2:10" x14ac:dyDescent="0.25">
      <c r="B327" s="17">
        <f t="shared" si="4"/>
        <v>45332</v>
      </c>
      <c r="D327" s="18">
        <v>0</v>
      </c>
      <c r="E327" s="18">
        <v>0</v>
      </c>
      <c r="J327" s="17"/>
    </row>
    <row r="328" spans="2:10" x14ac:dyDescent="0.25">
      <c r="B328" s="17">
        <f t="shared" si="4"/>
        <v>45333</v>
      </c>
      <c r="D328" s="18">
        <v>0</v>
      </c>
      <c r="E328" s="18">
        <v>0</v>
      </c>
      <c r="J328" s="17"/>
    </row>
    <row r="329" spans="2:10" x14ac:dyDescent="0.25">
      <c r="B329" s="17">
        <f t="shared" si="4"/>
        <v>45334</v>
      </c>
      <c r="D329" s="18">
        <v>0</v>
      </c>
      <c r="E329" s="18">
        <v>0</v>
      </c>
      <c r="J329" s="17"/>
    </row>
    <row r="330" spans="2:10" x14ac:dyDescent="0.25">
      <c r="B330" s="17">
        <f t="shared" si="4"/>
        <v>45335</v>
      </c>
      <c r="D330" s="18">
        <v>0</v>
      </c>
      <c r="E330" s="18">
        <v>0</v>
      </c>
      <c r="J330" s="17"/>
    </row>
    <row r="331" spans="2:10" x14ac:dyDescent="0.25">
      <c r="B331" s="17">
        <f t="shared" si="4"/>
        <v>45336</v>
      </c>
      <c r="D331" s="18">
        <v>0</v>
      </c>
      <c r="E331" s="18">
        <v>0</v>
      </c>
      <c r="J331" s="17"/>
    </row>
    <row r="332" spans="2:10" x14ac:dyDescent="0.25">
      <c r="B332" s="17">
        <f t="shared" si="4"/>
        <v>45337</v>
      </c>
      <c r="D332" s="18">
        <v>0</v>
      </c>
      <c r="E332" s="18">
        <v>0</v>
      </c>
      <c r="J332" s="17"/>
    </row>
    <row r="333" spans="2:10" x14ac:dyDescent="0.25">
      <c r="B333" s="17">
        <f t="shared" si="4"/>
        <v>45338</v>
      </c>
      <c r="D333" s="18">
        <v>0</v>
      </c>
      <c r="E333" s="18">
        <v>0</v>
      </c>
      <c r="J333" s="17"/>
    </row>
    <row r="334" spans="2:10" x14ac:dyDescent="0.25">
      <c r="B334" s="17">
        <f t="shared" ref="B334:B397" si="5">B333+1</f>
        <v>45339</v>
      </c>
      <c r="D334" s="18">
        <v>0</v>
      </c>
      <c r="E334" s="18">
        <v>0</v>
      </c>
      <c r="J334" s="17"/>
    </row>
    <row r="335" spans="2:10" x14ac:dyDescent="0.25">
      <c r="B335" s="17">
        <f t="shared" si="5"/>
        <v>45340</v>
      </c>
      <c r="D335" s="18">
        <v>0</v>
      </c>
      <c r="E335" s="18">
        <v>0</v>
      </c>
      <c r="J335" s="17"/>
    </row>
    <row r="336" spans="2:10" x14ac:dyDescent="0.25">
      <c r="B336" s="17">
        <f t="shared" si="5"/>
        <v>45341</v>
      </c>
      <c r="D336" s="18">
        <v>0</v>
      </c>
      <c r="E336" s="18">
        <v>0</v>
      </c>
      <c r="J336" s="17"/>
    </row>
    <row r="337" spans="2:10" x14ac:dyDescent="0.25">
      <c r="B337" s="17">
        <f t="shared" si="5"/>
        <v>45342</v>
      </c>
      <c r="D337" s="18">
        <v>0</v>
      </c>
      <c r="E337" s="18">
        <v>0</v>
      </c>
      <c r="J337" s="17"/>
    </row>
    <row r="338" spans="2:10" x14ac:dyDescent="0.25">
      <c r="B338" s="17">
        <f t="shared" si="5"/>
        <v>45343</v>
      </c>
      <c r="D338" s="18">
        <v>0</v>
      </c>
      <c r="E338" s="18">
        <v>0</v>
      </c>
      <c r="J338" s="17"/>
    </row>
    <row r="339" spans="2:10" x14ac:dyDescent="0.25">
      <c r="B339" s="17">
        <f t="shared" si="5"/>
        <v>45344</v>
      </c>
      <c r="D339" s="18">
        <v>0</v>
      </c>
      <c r="E339" s="18">
        <v>0</v>
      </c>
      <c r="J339" s="17"/>
    </row>
    <row r="340" spans="2:10" x14ac:dyDescent="0.25">
      <c r="B340" s="17">
        <f t="shared" si="5"/>
        <v>45345</v>
      </c>
      <c r="D340" s="18">
        <v>0</v>
      </c>
      <c r="E340" s="18">
        <v>0</v>
      </c>
      <c r="J340" s="17"/>
    </row>
    <row r="341" spans="2:10" x14ac:dyDescent="0.25">
      <c r="B341" s="17">
        <f t="shared" si="5"/>
        <v>45346</v>
      </c>
      <c r="D341" s="18">
        <v>0</v>
      </c>
      <c r="E341" s="18">
        <v>0</v>
      </c>
      <c r="J341" s="17"/>
    </row>
    <row r="342" spans="2:10" x14ac:dyDescent="0.25">
      <c r="B342" s="17">
        <f t="shared" si="5"/>
        <v>45347</v>
      </c>
      <c r="D342" s="18">
        <v>0</v>
      </c>
      <c r="E342" s="18">
        <v>0</v>
      </c>
      <c r="J342" s="17"/>
    </row>
    <row r="343" spans="2:10" x14ac:dyDescent="0.25">
      <c r="B343" s="17">
        <f t="shared" si="5"/>
        <v>45348</v>
      </c>
      <c r="D343" s="18">
        <v>0</v>
      </c>
      <c r="E343" s="18">
        <v>0</v>
      </c>
      <c r="J343" s="17"/>
    </row>
    <row r="344" spans="2:10" x14ac:dyDescent="0.25">
      <c r="B344" s="17">
        <f t="shared" si="5"/>
        <v>45349</v>
      </c>
      <c r="D344" s="18">
        <v>0</v>
      </c>
      <c r="E344" s="18">
        <v>0</v>
      </c>
      <c r="J344" s="17"/>
    </row>
    <row r="345" spans="2:10" x14ac:dyDescent="0.25">
      <c r="B345" s="17">
        <f t="shared" si="5"/>
        <v>45350</v>
      </c>
      <c r="D345" s="18">
        <v>0</v>
      </c>
      <c r="E345" s="18">
        <v>0</v>
      </c>
      <c r="J345" s="17"/>
    </row>
    <row r="346" spans="2:10" x14ac:dyDescent="0.25">
      <c r="B346" s="17">
        <f t="shared" si="5"/>
        <v>45351</v>
      </c>
      <c r="D346" s="18">
        <v>0</v>
      </c>
      <c r="E346" s="18">
        <v>0</v>
      </c>
      <c r="J346" s="17"/>
    </row>
    <row r="347" spans="2:10" x14ac:dyDescent="0.25">
      <c r="B347" s="17">
        <f t="shared" si="5"/>
        <v>45352</v>
      </c>
      <c r="D347" s="18">
        <v>0</v>
      </c>
      <c r="E347" s="18">
        <v>0</v>
      </c>
      <c r="J347" s="17"/>
    </row>
    <row r="348" spans="2:10" x14ac:dyDescent="0.25">
      <c r="B348" s="17">
        <f t="shared" si="5"/>
        <v>45353</v>
      </c>
      <c r="D348" s="18">
        <v>0</v>
      </c>
      <c r="E348" s="18">
        <v>0</v>
      </c>
      <c r="J348" s="17"/>
    </row>
    <row r="349" spans="2:10" x14ac:dyDescent="0.25">
      <c r="B349" s="17">
        <f t="shared" si="5"/>
        <v>45354</v>
      </c>
      <c r="D349" s="18">
        <v>0</v>
      </c>
      <c r="E349" s="18">
        <v>0</v>
      </c>
      <c r="J349" s="17"/>
    </row>
    <row r="350" spans="2:10" x14ac:dyDescent="0.25">
      <c r="B350" s="17">
        <f t="shared" si="5"/>
        <v>45355</v>
      </c>
      <c r="D350" s="18">
        <v>0</v>
      </c>
      <c r="E350" s="18">
        <v>0</v>
      </c>
      <c r="J350" s="17"/>
    </row>
    <row r="351" spans="2:10" x14ac:dyDescent="0.25">
      <c r="B351" s="17">
        <f t="shared" si="5"/>
        <v>45356</v>
      </c>
      <c r="D351" s="18">
        <v>0</v>
      </c>
      <c r="E351" s="18">
        <v>0</v>
      </c>
      <c r="J351" s="17"/>
    </row>
    <row r="352" spans="2:10" x14ac:dyDescent="0.25">
      <c r="B352" s="17">
        <f t="shared" si="5"/>
        <v>45357</v>
      </c>
      <c r="D352" s="18">
        <v>0</v>
      </c>
      <c r="E352" s="18">
        <v>0</v>
      </c>
      <c r="J352" s="17"/>
    </row>
    <row r="353" spans="2:10" x14ac:dyDescent="0.25">
      <c r="B353" s="17">
        <f t="shared" si="5"/>
        <v>45358</v>
      </c>
      <c r="D353" s="18">
        <v>0</v>
      </c>
      <c r="E353" s="18">
        <v>0</v>
      </c>
      <c r="J353" s="17"/>
    </row>
    <row r="354" spans="2:10" x14ac:dyDescent="0.25">
      <c r="B354" s="17">
        <f t="shared" si="5"/>
        <v>45359</v>
      </c>
      <c r="D354" s="18">
        <v>0</v>
      </c>
      <c r="E354" s="18">
        <v>0</v>
      </c>
      <c r="J354" s="17"/>
    </row>
    <row r="355" spans="2:10" x14ac:dyDescent="0.25">
      <c r="B355" s="17">
        <f t="shared" si="5"/>
        <v>45360</v>
      </c>
      <c r="D355" s="18">
        <v>0</v>
      </c>
      <c r="E355" s="18">
        <v>0</v>
      </c>
      <c r="J355" s="17"/>
    </row>
    <row r="356" spans="2:10" x14ac:dyDescent="0.25">
      <c r="B356" s="17">
        <f t="shared" si="5"/>
        <v>45361</v>
      </c>
      <c r="D356" s="18">
        <v>0</v>
      </c>
      <c r="E356" s="18">
        <v>0</v>
      </c>
      <c r="J356" s="17"/>
    </row>
    <row r="357" spans="2:10" x14ac:dyDescent="0.25">
      <c r="B357" s="17">
        <f t="shared" si="5"/>
        <v>45362</v>
      </c>
      <c r="D357" s="18">
        <v>0</v>
      </c>
      <c r="E357" s="18">
        <v>0</v>
      </c>
      <c r="J357" s="17"/>
    </row>
    <row r="358" spans="2:10" x14ac:dyDescent="0.25">
      <c r="B358" s="17">
        <f t="shared" si="5"/>
        <v>45363</v>
      </c>
      <c r="D358" s="18">
        <v>0</v>
      </c>
      <c r="E358" s="18">
        <v>0</v>
      </c>
      <c r="J358" s="17"/>
    </row>
    <row r="359" spans="2:10" x14ac:dyDescent="0.25">
      <c r="B359" s="17">
        <f t="shared" si="5"/>
        <v>45364</v>
      </c>
      <c r="D359" s="18">
        <v>0</v>
      </c>
      <c r="E359" s="18">
        <v>0</v>
      </c>
      <c r="J359" s="17"/>
    </row>
    <row r="360" spans="2:10" x14ac:dyDescent="0.25">
      <c r="B360" s="17">
        <f t="shared" si="5"/>
        <v>45365</v>
      </c>
      <c r="D360" s="18">
        <v>0</v>
      </c>
      <c r="E360" s="18">
        <v>0</v>
      </c>
      <c r="J360" s="17"/>
    </row>
    <row r="361" spans="2:10" x14ac:dyDescent="0.25">
      <c r="B361" s="17">
        <f t="shared" si="5"/>
        <v>45366</v>
      </c>
      <c r="D361" s="18">
        <v>0</v>
      </c>
      <c r="E361" s="18">
        <v>0</v>
      </c>
      <c r="J361" s="17"/>
    </row>
    <row r="362" spans="2:10" x14ac:dyDescent="0.25">
      <c r="B362" s="17">
        <f t="shared" si="5"/>
        <v>45367</v>
      </c>
      <c r="D362" s="18">
        <v>0</v>
      </c>
      <c r="E362" s="18">
        <v>0</v>
      </c>
      <c r="J362" s="17"/>
    </row>
    <row r="363" spans="2:10" x14ac:dyDescent="0.25">
      <c r="B363" s="17">
        <f t="shared" si="5"/>
        <v>45368</v>
      </c>
      <c r="D363" s="18">
        <v>0</v>
      </c>
      <c r="E363" s="18">
        <v>0</v>
      </c>
      <c r="J363" s="17"/>
    </row>
    <row r="364" spans="2:10" x14ac:dyDescent="0.25">
      <c r="B364" s="17">
        <f t="shared" si="5"/>
        <v>45369</v>
      </c>
      <c r="D364" s="18">
        <v>0</v>
      </c>
      <c r="E364" s="18">
        <v>0</v>
      </c>
      <c r="J364" s="17"/>
    </row>
    <row r="365" spans="2:10" x14ac:dyDescent="0.25">
      <c r="B365" s="17">
        <f t="shared" si="5"/>
        <v>45370</v>
      </c>
      <c r="D365" s="18">
        <v>0</v>
      </c>
      <c r="E365" s="18">
        <v>0</v>
      </c>
      <c r="J365" s="17"/>
    </row>
    <row r="366" spans="2:10" x14ac:dyDescent="0.25">
      <c r="B366" s="17">
        <f t="shared" si="5"/>
        <v>45371</v>
      </c>
      <c r="D366" s="18">
        <v>0</v>
      </c>
      <c r="E366" s="18">
        <v>0</v>
      </c>
      <c r="J366" s="17"/>
    </row>
    <row r="367" spans="2:10" x14ac:dyDescent="0.25">
      <c r="B367" s="17">
        <f t="shared" si="5"/>
        <v>45372</v>
      </c>
      <c r="D367" s="18">
        <v>0</v>
      </c>
      <c r="E367" s="18">
        <v>0</v>
      </c>
      <c r="J367" s="17"/>
    </row>
    <row r="368" spans="2:10" x14ac:dyDescent="0.25">
      <c r="B368" s="17">
        <f t="shared" si="5"/>
        <v>45373</v>
      </c>
      <c r="D368" s="18">
        <v>0</v>
      </c>
      <c r="E368" s="18">
        <v>0</v>
      </c>
      <c r="J368" s="17"/>
    </row>
    <row r="369" spans="2:10" x14ac:dyDescent="0.25">
      <c r="B369" s="17">
        <f t="shared" si="5"/>
        <v>45374</v>
      </c>
      <c r="D369" s="18">
        <v>0</v>
      </c>
      <c r="E369" s="18">
        <v>0</v>
      </c>
      <c r="J369" s="17"/>
    </row>
    <row r="370" spans="2:10" x14ac:dyDescent="0.25">
      <c r="B370" s="17">
        <f t="shared" si="5"/>
        <v>45375</v>
      </c>
      <c r="D370" s="18">
        <v>0</v>
      </c>
      <c r="E370" s="18">
        <v>0</v>
      </c>
      <c r="J370" s="17"/>
    </row>
    <row r="371" spans="2:10" x14ac:dyDescent="0.25">
      <c r="B371" s="17">
        <f t="shared" si="5"/>
        <v>45376</v>
      </c>
      <c r="D371" s="18">
        <v>0</v>
      </c>
      <c r="E371" s="18">
        <v>0</v>
      </c>
      <c r="J371" s="17"/>
    </row>
    <row r="372" spans="2:10" x14ac:dyDescent="0.25">
      <c r="B372" s="17">
        <f t="shared" si="5"/>
        <v>45377</v>
      </c>
      <c r="D372" s="18">
        <v>0</v>
      </c>
      <c r="E372" s="18">
        <v>0</v>
      </c>
      <c r="J372" s="17"/>
    </row>
    <row r="373" spans="2:10" x14ac:dyDescent="0.25">
      <c r="B373" s="17">
        <f t="shared" si="5"/>
        <v>45378</v>
      </c>
      <c r="D373" s="18">
        <v>0</v>
      </c>
      <c r="E373" s="18">
        <v>0</v>
      </c>
      <c r="J373" s="17"/>
    </row>
    <row r="374" spans="2:10" x14ac:dyDescent="0.25">
      <c r="B374" s="17">
        <f t="shared" si="5"/>
        <v>45379</v>
      </c>
      <c r="D374" s="18">
        <v>0</v>
      </c>
      <c r="E374" s="18">
        <v>0</v>
      </c>
      <c r="J374" s="17"/>
    </row>
    <row r="375" spans="2:10" x14ac:dyDescent="0.25">
      <c r="B375" s="17">
        <f t="shared" si="5"/>
        <v>45380</v>
      </c>
      <c r="D375" s="18">
        <v>0</v>
      </c>
      <c r="E375" s="18">
        <v>0</v>
      </c>
      <c r="J375" s="17"/>
    </row>
    <row r="376" spans="2:10" x14ac:dyDescent="0.25">
      <c r="B376" s="17">
        <f t="shared" si="5"/>
        <v>45381</v>
      </c>
      <c r="D376" s="18">
        <v>0</v>
      </c>
      <c r="E376" s="18">
        <v>0</v>
      </c>
      <c r="J376" s="17"/>
    </row>
    <row r="377" spans="2:10" x14ac:dyDescent="0.25">
      <c r="B377" s="17">
        <f t="shared" si="5"/>
        <v>45382</v>
      </c>
      <c r="D377" s="18">
        <v>0</v>
      </c>
      <c r="E377" s="18">
        <v>0</v>
      </c>
      <c r="J377" s="17"/>
    </row>
    <row r="378" spans="2:10" x14ac:dyDescent="0.25">
      <c r="B378" s="17">
        <f t="shared" si="5"/>
        <v>45383</v>
      </c>
      <c r="D378" s="18">
        <v>0</v>
      </c>
      <c r="E378" s="18">
        <v>0</v>
      </c>
      <c r="J378" s="17"/>
    </row>
    <row r="379" spans="2:10" x14ac:dyDescent="0.25">
      <c r="B379" s="17">
        <f t="shared" si="5"/>
        <v>45384</v>
      </c>
      <c r="D379" s="18">
        <v>0</v>
      </c>
      <c r="E379" s="18">
        <v>0</v>
      </c>
      <c r="J379" s="17"/>
    </row>
    <row r="380" spans="2:10" x14ac:dyDescent="0.25">
      <c r="B380" s="17">
        <f t="shared" si="5"/>
        <v>45385</v>
      </c>
      <c r="D380" s="18">
        <v>0</v>
      </c>
      <c r="E380" s="18">
        <v>0</v>
      </c>
      <c r="J380" s="17"/>
    </row>
    <row r="381" spans="2:10" x14ac:dyDescent="0.25">
      <c r="B381" s="17">
        <f t="shared" si="5"/>
        <v>45386</v>
      </c>
      <c r="D381" s="18">
        <v>0</v>
      </c>
      <c r="E381" s="18">
        <v>0</v>
      </c>
      <c r="J381" s="17"/>
    </row>
    <row r="382" spans="2:10" x14ac:dyDescent="0.25">
      <c r="B382" s="17">
        <f t="shared" si="5"/>
        <v>45387</v>
      </c>
      <c r="D382" s="18">
        <v>0</v>
      </c>
      <c r="E382" s="18">
        <v>0</v>
      </c>
      <c r="J382" s="17"/>
    </row>
    <row r="383" spans="2:10" x14ac:dyDescent="0.25">
      <c r="B383" s="17">
        <f t="shared" si="5"/>
        <v>45388</v>
      </c>
      <c r="D383" s="18">
        <v>0</v>
      </c>
      <c r="E383" s="18">
        <v>0</v>
      </c>
      <c r="J383" s="17"/>
    </row>
    <row r="384" spans="2:10" x14ac:dyDescent="0.25">
      <c r="B384" s="17">
        <f t="shared" si="5"/>
        <v>45389</v>
      </c>
      <c r="D384" s="18">
        <v>0</v>
      </c>
      <c r="E384" s="18">
        <v>0</v>
      </c>
      <c r="J384" s="17"/>
    </row>
    <row r="385" spans="2:10" x14ac:dyDescent="0.25">
      <c r="B385" s="17">
        <f t="shared" si="5"/>
        <v>45390</v>
      </c>
      <c r="D385" s="18">
        <v>0</v>
      </c>
      <c r="E385" s="18">
        <v>0</v>
      </c>
      <c r="J385" s="17"/>
    </row>
    <row r="386" spans="2:10" x14ac:dyDescent="0.25">
      <c r="B386" s="17">
        <f t="shared" si="5"/>
        <v>45391</v>
      </c>
      <c r="D386" s="18">
        <v>0</v>
      </c>
      <c r="E386" s="18">
        <v>0</v>
      </c>
      <c r="J386" s="17"/>
    </row>
    <row r="387" spans="2:10" x14ac:dyDescent="0.25">
      <c r="B387" s="17">
        <f t="shared" si="5"/>
        <v>45392</v>
      </c>
      <c r="D387" s="18">
        <v>0</v>
      </c>
      <c r="E387" s="18">
        <v>0</v>
      </c>
      <c r="J387" s="17"/>
    </row>
    <row r="388" spans="2:10" x14ac:dyDescent="0.25">
      <c r="B388" s="17">
        <f t="shared" si="5"/>
        <v>45393</v>
      </c>
      <c r="D388" s="18">
        <v>0</v>
      </c>
      <c r="E388" s="18">
        <v>0</v>
      </c>
      <c r="J388" s="17"/>
    </row>
    <row r="389" spans="2:10" x14ac:dyDescent="0.25">
      <c r="B389" s="17">
        <f t="shared" si="5"/>
        <v>45394</v>
      </c>
      <c r="D389" s="18">
        <v>0</v>
      </c>
      <c r="E389" s="18">
        <v>0</v>
      </c>
      <c r="J389" s="17"/>
    </row>
    <row r="390" spans="2:10" x14ac:dyDescent="0.25">
      <c r="B390" s="17">
        <f t="shared" si="5"/>
        <v>45395</v>
      </c>
      <c r="D390" s="18">
        <v>0</v>
      </c>
      <c r="E390" s="18">
        <v>0</v>
      </c>
      <c r="J390" s="17"/>
    </row>
    <row r="391" spans="2:10" x14ac:dyDescent="0.25">
      <c r="B391" s="17">
        <f t="shared" si="5"/>
        <v>45396</v>
      </c>
      <c r="D391" s="18">
        <v>0</v>
      </c>
      <c r="E391" s="18">
        <v>0</v>
      </c>
      <c r="J391" s="17"/>
    </row>
    <row r="392" spans="2:10" x14ac:dyDescent="0.25">
      <c r="B392" s="17">
        <f t="shared" si="5"/>
        <v>45397</v>
      </c>
      <c r="D392" s="18">
        <v>0</v>
      </c>
      <c r="E392" s="18">
        <v>0</v>
      </c>
      <c r="J392" s="17"/>
    </row>
    <row r="393" spans="2:10" x14ac:dyDescent="0.25">
      <c r="B393" s="17">
        <f t="shared" si="5"/>
        <v>45398</v>
      </c>
      <c r="D393" s="18">
        <v>0</v>
      </c>
      <c r="E393" s="18">
        <v>0</v>
      </c>
      <c r="J393" s="17"/>
    </row>
    <row r="394" spans="2:10" x14ac:dyDescent="0.25">
      <c r="B394" s="17">
        <f t="shared" si="5"/>
        <v>45399</v>
      </c>
      <c r="D394" s="18">
        <v>0</v>
      </c>
      <c r="E394" s="18">
        <v>0</v>
      </c>
      <c r="J394" s="17"/>
    </row>
    <row r="395" spans="2:10" x14ac:dyDescent="0.25">
      <c r="B395" s="17">
        <f t="shared" si="5"/>
        <v>45400</v>
      </c>
      <c r="D395" s="18">
        <v>0</v>
      </c>
      <c r="E395" s="18">
        <v>0</v>
      </c>
      <c r="J395" s="17"/>
    </row>
    <row r="396" spans="2:10" x14ac:dyDescent="0.25">
      <c r="B396" s="17">
        <f t="shared" si="5"/>
        <v>45401</v>
      </c>
      <c r="D396" s="18">
        <v>0</v>
      </c>
      <c r="E396" s="18">
        <v>0</v>
      </c>
      <c r="J396" s="17"/>
    </row>
    <row r="397" spans="2:10" x14ac:dyDescent="0.25">
      <c r="B397" s="17">
        <f t="shared" si="5"/>
        <v>45402</v>
      </c>
      <c r="D397" s="18">
        <v>0</v>
      </c>
      <c r="E397" s="18">
        <v>0</v>
      </c>
      <c r="J397" s="17"/>
    </row>
    <row r="398" spans="2:10" x14ac:dyDescent="0.25">
      <c r="B398" s="17">
        <f t="shared" ref="B398:B461" si="6">B397+1</f>
        <v>45403</v>
      </c>
      <c r="D398" s="18">
        <v>0</v>
      </c>
      <c r="E398" s="18">
        <v>0</v>
      </c>
      <c r="J398" s="17"/>
    </row>
    <row r="399" spans="2:10" x14ac:dyDescent="0.25">
      <c r="B399" s="17">
        <f t="shared" si="6"/>
        <v>45404</v>
      </c>
      <c r="D399" s="18">
        <v>0</v>
      </c>
      <c r="E399" s="18">
        <v>0</v>
      </c>
      <c r="J399" s="17"/>
    </row>
    <row r="400" spans="2:10" x14ac:dyDescent="0.25">
      <c r="B400" s="17">
        <f t="shared" si="6"/>
        <v>45405</v>
      </c>
      <c r="D400" s="18">
        <v>0</v>
      </c>
      <c r="E400" s="18">
        <v>0</v>
      </c>
      <c r="J400" s="17"/>
    </row>
    <row r="401" spans="2:10" x14ac:dyDescent="0.25">
      <c r="B401" s="17">
        <f t="shared" si="6"/>
        <v>45406</v>
      </c>
      <c r="D401" s="18">
        <v>0</v>
      </c>
      <c r="E401" s="18">
        <v>0</v>
      </c>
      <c r="J401" s="17"/>
    </row>
    <row r="402" spans="2:10" x14ac:dyDescent="0.25">
      <c r="B402" s="17">
        <f t="shared" si="6"/>
        <v>45407</v>
      </c>
      <c r="D402" s="18">
        <v>0</v>
      </c>
      <c r="E402" s="18">
        <v>0</v>
      </c>
      <c r="J402" s="17"/>
    </row>
    <row r="403" spans="2:10" x14ac:dyDescent="0.25">
      <c r="B403" s="17">
        <f t="shared" si="6"/>
        <v>45408</v>
      </c>
      <c r="D403" s="18">
        <v>0</v>
      </c>
      <c r="E403" s="18">
        <v>0</v>
      </c>
      <c r="J403" s="17"/>
    </row>
    <row r="404" spans="2:10" x14ac:dyDescent="0.25">
      <c r="B404" s="17">
        <f t="shared" si="6"/>
        <v>45409</v>
      </c>
      <c r="D404" s="18">
        <v>0</v>
      </c>
      <c r="E404" s="18">
        <v>0</v>
      </c>
      <c r="J404" s="17"/>
    </row>
    <row r="405" spans="2:10" x14ac:dyDescent="0.25">
      <c r="B405" s="17">
        <f t="shared" si="6"/>
        <v>45410</v>
      </c>
      <c r="D405" s="18">
        <v>0</v>
      </c>
      <c r="E405" s="18">
        <v>0</v>
      </c>
      <c r="J405" s="17"/>
    </row>
    <row r="406" spans="2:10" x14ac:dyDescent="0.25">
      <c r="B406" s="17">
        <f t="shared" si="6"/>
        <v>45411</v>
      </c>
      <c r="D406" s="18">
        <v>0</v>
      </c>
      <c r="E406" s="18">
        <v>0</v>
      </c>
      <c r="J406" s="17"/>
    </row>
    <row r="407" spans="2:10" x14ac:dyDescent="0.25">
      <c r="B407" s="17">
        <f t="shared" si="6"/>
        <v>45412</v>
      </c>
      <c r="D407" s="18">
        <v>0</v>
      </c>
      <c r="E407" s="18">
        <v>0</v>
      </c>
      <c r="J407" s="17"/>
    </row>
    <row r="408" spans="2:10" x14ac:dyDescent="0.25">
      <c r="B408" s="17">
        <f t="shared" si="6"/>
        <v>45413</v>
      </c>
      <c r="D408" s="18">
        <v>0</v>
      </c>
      <c r="E408" s="18">
        <v>0</v>
      </c>
      <c r="J408" s="17"/>
    </row>
    <row r="409" spans="2:10" x14ac:dyDescent="0.25">
      <c r="B409" s="17">
        <f t="shared" si="6"/>
        <v>45414</v>
      </c>
      <c r="D409" s="18">
        <v>0</v>
      </c>
      <c r="E409" s="18">
        <v>0</v>
      </c>
      <c r="J409" s="17"/>
    </row>
    <row r="410" spans="2:10" x14ac:dyDescent="0.25">
      <c r="B410" s="17">
        <f t="shared" si="6"/>
        <v>45415</v>
      </c>
      <c r="D410" s="18">
        <v>0</v>
      </c>
      <c r="E410" s="18">
        <v>0</v>
      </c>
      <c r="J410" s="17"/>
    </row>
    <row r="411" spans="2:10" x14ac:dyDescent="0.25">
      <c r="B411" s="17">
        <f t="shared" si="6"/>
        <v>45416</v>
      </c>
      <c r="D411" s="18">
        <v>0</v>
      </c>
      <c r="E411" s="18">
        <v>0</v>
      </c>
      <c r="J411" s="17"/>
    </row>
    <row r="412" spans="2:10" x14ac:dyDescent="0.25">
      <c r="B412" s="17">
        <f t="shared" si="6"/>
        <v>45417</v>
      </c>
      <c r="D412" s="18">
        <v>0</v>
      </c>
      <c r="E412" s="18">
        <v>0</v>
      </c>
      <c r="J412" s="17"/>
    </row>
    <row r="413" spans="2:10" x14ac:dyDescent="0.25">
      <c r="B413" s="17">
        <f t="shared" si="6"/>
        <v>45418</v>
      </c>
      <c r="D413" s="18">
        <v>0</v>
      </c>
      <c r="E413" s="18">
        <v>0</v>
      </c>
      <c r="J413" s="17"/>
    </row>
    <row r="414" spans="2:10" x14ac:dyDescent="0.25">
      <c r="B414" s="17">
        <f t="shared" si="6"/>
        <v>45419</v>
      </c>
      <c r="D414" s="18">
        <v>0</v>
      </c>
      <c r="E414" s="18">
        <v>0</v>
      </c>
      <c r="J414" s="17"/>
    </row>
    <row r="415" spans="2:10" x14ac:dyDescent="0.25">
      <c r="B415" s="17">
        <f t="shared" si="6"/>
        <v>45420</v>
      </c>
      <c r="D415" s="18">
        <v>0</v>
      </c>
      <c r="E415" s="18">
        <v>0</v>
      </c>
      <c r="J415" s="17"/>
    </row>
    <row r="416" spans="2:10" x14ac:dyDescent="0.25">
      <c r="B416" s="17">
        <f t="shared" si="6"/>
        <v>45421</v>
      </c>
      <c r="D416" s="18">
        <v>0</v>
      </c>
      <c r="E416" s="18">
        <v>0</v>
      </c>
      <c r="J416" s="17"/>
    </row>
    <row r="417" spans="2:10" x14ac:dyDescent="0.25">
      <c r="B417" s="17">
        <f t="shared" si="6"/>
        <v>45422</v>
      </c>
      <c r="D417" s="18">
        <v>0</v>
      </c>
      <c r="E417" s="18">
        <v>0</v>
      </c>
      <c r="J417" s="17"/>
    </row>
    <row r="418" spans="2:10" x14ac:dyDescent="0.25">
      <c r="B418" s="17">
        <f t="shared" si="6"/>
        <v>45423</v>
      </c>
      <c r="D418" s="18">
        <v>0</v>
      </c>
      <c r="E418" s="18">
        <v>0</v>
      </c>
      <c r="J418" s="17"/>
    </row>
    <row r="419" spans="2:10" x14ac:dyDescent="0.25">
      <c r="B419" s="17">
        <f t="shared" si="6"/>
        <v>45424</v>
      </c>
      <c r="D419" s="18">
        <v>0</v>
      </c>
      <c r="E419" s="18">
        <v>0</v>
      </c>
      <c r="J419" s="17"/>
    </row>
    <row r="420" spans="2:10" x14ac:dyDescent="0.25">
      <c r="B420" s="17">
        <f t="shared" si="6"/>
        <v>45425</v>
      </c>
      <c r="D420" s="18">
        <v>0</v>
      </c>
      <c r="E420" s="18">
        <v>0</v>
      </c>
      <c r="J420" s="17"/>
    </row>
    <row r="421" spans="2:10" x14ac:dyDescent="0.25">
      <c r="B421" s="17">
        <f t="shared" si="6"/>
        <v>45426</v>
      </c>
      <c r="D421" s="18">
        <v>0</v>
      </c>
      <c r="E421" s="18">
        <v>0</v>
      </c>
      <c r="J421" s="17"/>
    </row>
    <row r="422" spans="2:10" x14ac:dyDescent="0.25">
      <c r="B422" s="17">
        <f t="shared" si="6"/>
        <v>45427</v>
      </c>
      <c r="D422" s="18">
        <v>0</v>
      </c>
      <c r="E422" s="18">
        <v>0</v>
      </c>
      <c r="J422" s="17"/>
    </row>
    <row r="423" spans="2:10" x14ac:dyDescent="0.25">
      <c r="B423" s="17">
        <f t="shared" si="6"/>
        <v>45428</v>
      </c>
      <c r="D423" s="18">
        <v>0</v>
      </c>
      <c r="E423" s="18">
        <v>0</v>
      </c>
      <c r="J423" s="17"/>
    </row>
    <row r="424" spans="2:10" x14ac:dyDescent="0.25">
      <c r="B424" s="17">
        <f t="shared" si="6"/>
        <v>45429</v>
      </c>
      <c r="D424" s="18">
        <v>0</v>
      </c>
      <c r="E424" s="18">
        <v>0</v>
      </c>
      <c r="J424" s="17"/>
    </row>
    <row r="425" spans="2:10" x14ac:dyDescent="0.25">
      <c r="B425" s="17">
        <f t="shared" si="6"/>
        <v>45430</v>
      </c>
      <c r="D425" s="18">
        <v>0</v>
      </c>
      <c r="E425" s="18">
        <v>0</v>
      </c>
      <c r="J425" s="17"/>
    </row>
    <row r="426" spans="2:10" x14ac:dyDescent="0.25">
      <c r="B426" s="17">
        <f t="shared" si="6"/>
        <v>45431</v>
      </c>
      <c r="D426" s="18">
        <v>0</v>
      </c>
      <c r="E426" s="18">
        <v>0</v>
      </c>
      <c r="J426" s="17"/>
    </row>
    <row r="427" spans="2:10" x14ac:dyDescent="0.25">
      <c r="B427" s="17">
        <f t="shared" si="6"/>
        <v>45432</v>
      </c>
      <c r="D427" s="18">
        <v>0</v>
      </c>
      <c r="E427" s="18">
        <v>0</v>
      </c>
      <c r="J427" s="17"/>
    </row>
    <row r="428" spans="2:10" x14ac:dyDescent="0.25">
      <c r="B428" s="17">
        <f t="shared" si="6"/>
        <v>45433</v>
      </c>
      <c r="D428" s="18">
        <v>0</v>
      </c>
      <c r="E428" s="18">
        <v>0</v>
      </c>
      <c r="J428" s="17"/>
    </row>
    <row r="429" spans="2:10" x14ac:dyDescent="0.25">
      <c r="B429" s="17">
        <f t="shared" si="6"/>
        <v>45434</v>
      </c>
      <c r="D429" s="18">
        <v>0</v>
      </c>
      <c r="E429" s="18">
        <v>0</v>
      </c>
      <c r="J429" s="17"/>
    </row>
    <row r="430" spans="2:10" x14ac:dyDescent="0.25">
      <c r="B430" s="17">
        <f t="shared" si="6"/>
        <v>45435</v>
      </c>
      <c r="D430" s="18">
        <v>0</v>
      </c>
      <c r="E430" s="18">
        <v>0</v>
      </c>
      <c r="J430" s="17"/>
    </row>
    <row r="431" spans="2:10" x14ac:dyDescent="0.25">
      <c r="B431" s="17">
        <f t="shared" si="6"/>
        <v>45436</v>
      </c>
      <c r="D431" s="18">
        <v>0</v>
      </c>
      <c r="E431" s="18">
        <v>0</v>
      </c>
      <c r="J431" s="17"/>
    </row>
    <row r="432" spans="2:10" x14ac:dyDescent="0.25">
      <c r="B432" s="17">
        <f t="shared" si="6"/>
        <v>45437</v>
      </c>
      <c r="D432" s="18">
        <v>0</v>
      </c>
      <c r="E432" s="18">
        <v>0</v>
      </c>
      <c r="J432" s="17"/>
    </row>
    <row r="433" spans="2:10" x14ac:dyDescent="0.25">
      <c r="B433" s="17">
        <f t="shared" si="6"/>
        <v>45438</v>
      </c>
      <c r="D433" s="18">
        <v>0</v>
      </c>
      <c r="E433" s="18">
        <v>0</v>
      </c>
      <c r="J433" s="17"/>
    </row>
    <row r="434" spans="2:10" x14ac:dyDescent="0.25">
      <c r="B434" s="17">
        <f t="shared" si="6"/>
        <v>45439</v>
      </c>
      <c r="D434" s="18">
        <v>0</v>
      </c>
      <c r="E434" s="18">
        <v>0</v>
      </c>
      <c r="J434" s="17"/>
    </row>
    <row r="435" spans="2:10" x14ac:dyDescent="0.25">
      <c r="B435" s="17">
        <f t="shared" si="6"/>
        <v>45440</v>
      </c>
      <c r="D435" s="18">
        <v>0</v>
      </c>
      <c r="E435" s="18">
        <v>0</v>
      </c>
      <c r="J435" s="17"/>
    </row>
    <row r="436" spans="2:10" x14ac:dyDescent="0.25">
      <c r="B436" s="17">
        <f t="shared" si="6"/>
        <v>45441</v>
      </c>
      <c r="D436" s="18">
        <v>0</v>
      </c>
      <c r="E436" s="18">
        <v>0</v>
      </c>
      <c r="J436" s="17"/>
    </row>
    <row r="437" spans="2:10" x14ac:dyDescent="0.25">
      <c r="B437" s="17">
        <f t="shared" si="6"/>
        <v>45442</v>
      </c>
      <c r="D437" s="18">
        <v>0</v>
      </c>
      <c r="E437" s="18">
        <v>0</v>
      </c>
      <c r="J437" s="17"/>
    </row>
    <row r="438" spans="2:10" x14ac:dyDescent="0.25">
      <c r="B438" s="17">
        <f t="shared" si="6"/>
        <v>45443</v>
      </c>
      <c r="D438" s="18">
        <v>0</v>
      </c>
      <c r="E438" s="18">
        <v>0</v>
      </c>
      <c r="J438" s="17"/>
    </row>
    <row r="439" spans="2:10" x14ac:dyDescent="0.25">
      <c r="B439" s="17">
        <f t="shared" si="6"/>
        <v>45444</v>
      </c>
      <c r="D439" s="18">
        <v>0</v>
      </c>
      <c r="E439" s="18">
        <v>0</v>
      </c>
      <c r="J439" s="17"/>
    </row>
    <row r="440" spans="2:10" x14ac:dyDescent="0.25">
      <c r="B440" s="17">
        <f t="shared" si="6"/>
        <v>45445</v>
      </c>
      <c r="D440" s="18">
        <v>0</v>
      </c>
      <c r="E440" s="18">
        <v>0</v>
      </c>
      <c r="J440" s="17"/>
    </row>
    <row r="441" spans="2:10" x14ac:dyDescent="0.25">
      <c r="B441" s="17">
        <f t="shared" si="6"/>
        <v>45446</v>
      </c>
      <c r="D441" s="18">
        <v>0</v>
      </c>
      <c r="E441" s="18">
        <v>0</v>
      </c>
      <c r="J441" s="17"/>
    </row>
    <row r="442" spans="2:10" x14ac:dyDescent="0.25">
      <c r="B442" s="17">
        <f t="shared" si="6"/>
        <v>45447</v>
      </c>
      <c r="D442" s="18">
        <v>0</v>
      </c>
      <c r="E442" s="18">
        <v>0</v>
      </c>
      <c r="J442" s="17"/>
    </row>
    <row r="443" spans="2:10" x14ac:dyDescent="0.25">
      <c r="B443" s="17">
        <f t="shared" si="6"/>
        <v>45448</v>
      </c>
      <c r="D443" s="18">
        <v>0</v>
      </c>
      <c r="E443" s="18">
        <v>0</v>
      </c>
      <c r="J443" s="17"/>
    </row>
    <row r="444" spans="2:10" x14ac:dyDescent="0.25">
      <c r="B444" s="17">
        <f t="shared" si="6"/>
        <v>45449</v>
      </c>
      <c r="D444" s="18">
        <v>0</v>
      </c>
      <c r="E444" s="18">
        <v>0</v>
      </c>
      <c r="J444" s="17"/>
    </row>
    <row r="445" spans="2:10" x14ac:dyDescent="0.25">
      <c r="B445" s="17">
        <f t="shared" si="6"/>
        <v>45450</v>
      </c>
      <c r="D445" s="18">
        <v>0</v>
      </c>
      <c r="E445" s="18">
        <v>0</v>
      </c>
      <c r="J445" s="17"/>
    </row>
    <row r="446" spans="2:10" x14ac:dyDescent="0.25">
      <c r="B446" s="17">
        <f t="shared" si="6"/>
        <v>45451</v>
      </c>
      <c r="D446" s="18">
        <v>0</v>
      </c>
      <c r="E446" s="18">
        <v>0</v>
      </c>
      <c r="J446" s="17"/>
    </row>
    <row r="447" spans="2:10" x14ac:dyDescent="0.25">
      <c r="B447" s="17">
        <f t="shared" si="6"/>
        <v>45452</v>
      </c>
      <c r="D447" s="18">
        <v>0</v>
      </c>
      <c r="E447" s="18">
        <v>0</v>
      </c>
      <c r="J447" s="17"/>
    </row>
    <row r="448" spans="2:10" x14ac:dyDescent="0.25">
      <c r="B448" s="17">
        <f t="shared" si="6"/>
        <v>45453</v>
      </c>
      <c r="D448" s="18">
        <v>0</v>
      </c>
      <c r="E448" s="18">
        <v>0</v>
      </c>
      <c r="J448" s="17"/>
    </row>
    <row r="449" spans="2:10" x14ac:dyDescent="0.25">
      <c r="B449" s="17">
        <f t="shared" si="6"/>
        <v>45454</v>
      </c>
      <c r="D449" s="18">
        <v>0</v>
      </c>
      <c r="E449" s="18">
        <v>0</v>
      </c>
      <c r="J449" s="17"/>
    </row>
    <row r="450" spans="2:10" x14ac:dyDescent="0.25">
      <c r="B450" s="17">
        <f t="shared" si="6"/>
        <v>45455</v>
      </c>
      <c r="D450" s="18">
        <v>0</v>
      </c>
      <c r="E450" s="18">
        <v>0</v>
      </c>
      <c r="J450" s="17"/>
    </row>
    <row r="451" spans="2:10" x14ac:dyDescent="0.25">
      <c r="B451" s="17">
        <f t="shared" si="6"/>
        <v>45456</v>
      </c>
      <c r="D451" s="18">
        <v>0</v>
      </c>
      <c r="E451" s="18">
        <v>0</v>
      </c>
      <c r="J451" s="17"/>
    </row>
    <row r="452" spans="2:10" x14ac:dyDescent="0.25">
      <c r="B452" s="17">
        <f t="shared" si="6"/>
        <v>45457</v>
      </c>
      <c r="D452" s="18">
        <v>0</v>
      </c>
      <c r="E452" s="18">
        <v>0</v>
      </c>
      <c r="J452" s="17"/>
    </row>
    <row r="453" spans="2:10" x14ac:dyDescent="0.25">
      <c r="B453" s="17">
        <f t="shared" si="6"/>
        <v>45458</v>
      </c>
      <c r="D453" s="18">
        <v>0</v>
      </c>
      <c r="E453" s="18">
        <v>0</v>
      </c>
      <c r="J453" s="17"/>
    </row>
    <row r="454" spans="2:10" x14ac:dyDescent="0.25">
      <c r="B454" s="17">
        <f t="shared" si="6"/>
        <v>45459</v>
      </c>
      <c r="D454" s="18">
        <v>0</v>
      </c>
      <c r="E454" s="18">
        <v>0</v>
      </c>
      <c r="J454" s="17"/>
    </row>
    <row r="455" spans="2:10" x14ac:dyDescent="0.25">
      <c r="B455" s="17">
        <f t="shared" si="6"/>
        <v>45460</v>
      </c>
      <c r="D455" s="18">
        <v>0</v>
      </c>
      <c r="E455" s="18">
        <v>0</v>
      </c>
      <c r="J455" s="17"/>
    </row>
    <row r="456" spans="2:10" x14ac:dyDescent="0.25">
      <c r="B456" s="17">
        <f t="shared" si="6"/>
        <v>45461</v>
      </c>
      <c r="D456" s="18">
        <v>0</v>
      </c>
      <c r="E456" s="18">
        <v>0</v>
      </c>
      <c r="J456" s="17"/>
    </row>
    <row r="457" spans="2:10" x14ac:dyDescent="0.25">
      <c r="B457" s="17">
        <f t="shared" si="6"/>
        <v>45462</v>
      </c>
      <c r="D457" s="18">
        <v>0</v>
      </c>
      <c r="E457" s="18">
        <v>0</v>
      </c>
      <c r="J457" s="17"/>
    </row>
    <row r="458" spans="2:10" x14ac:dyDescent="0.25">
      <c r="B458" s="17">
        <f t="shared" si="6"/>
        <v>45463</v>
      </c>
      <c r="D458" s="18">
        <v>0</v>
      </c>
      <c r="E458" s="18">
        <v>0</v>
      </c>
      <c r="J458" s="17"/>
    </row>
    <row r="459" spans="2:10" x14ac:dyDescent="0.25">
      <c r="B459" s="17">
        <f t="shared" si="6"/>
        <v>45464</v>
      </c>
      <c r="D459" s="18">
        <v>0</v>
      </c>
      <c r="E459" s="18">
        <v>0</v>
      </c>
      <c r="J459" s="17"/>
    </row>
    <row r="460" spans="2:10" x14ac:dyDescent="0.25">
      <c r="B460" s="17">
        <f t="shared" si="6"/>
        <v>45465</v>
      </c>
      <c r="D460" s="18">
        <v>0</v>
      </c>
      <c r="E460" s="18">
        <v>0</v>
      </c>
      <c r="J460" s="17"/>
    </row>
    <row r="461" spans="2:10" x14ac:dyDescent="0.25">
      <c r="B461" s="17">
        <f t="shared" si="6"/>
        <v>45466</v>
      </c>
      <c r="D461" s="18">
        <v>0</v>
      </c>
      <c r="E461" s="18">
        <v>0</v>
      </c>
      <c r="J461" s="17"/>
    </row>
    <row r="462" spans="2:10" x14ac:dyDescent="0.25">
      <c r="B462" s="17">
        <f t="shared" ref="B462:B525" si="7">B461+1</f>
        <v>45467</v>
      </c>
      <c r="D462" s="18">
        <v>0</v>
      </c>
      <c r="E462" s="18">
        <v>0</v>
      </c>
      <c r="J462" s="17"/>
    </row>
    <row r="463" spans="2:10" x14ac:dyDescent="0.25">
      <c r="B463" s="17">
        <f t="shared" si="7"/>
        <v>45468</v>
      </c>
      <c r="D463" s="18">
        <v>0</v>
      </c>
      <c r="E463" s="18">
        <v>0</v>
      </c>
      <c r="J463" s="17"/>
    </row>
    <row r="464" spans="2:10" x14ac:dyDescent="0.25">
      <c r="B464" s="17">
        <f t="shared" si="7"/>
        <v>45469</v>
      </c>
      <c r="D464" s="18">
        <v>0</v>
      </c>
      <c r="E464" s="18">
        <v>0</v>
      </c>
      <c r="J464" s="17"/>
    </row>
    <row r="465" spans="2:10" x14ac:dyDescent="0.25">
      <c r="B465" s="17">
        <f t="shared" si="7"/>
        <v>45470</v>
      </c>
      <c r="D465" s="18">
        <v>0</v>
      </c>
      <c r="E465" s="18">
        <v>0</v>
      </c>
      <c r="J465" s="17"/>
    </row>
    <row r="466" spans="2:10" x14ac:dyDescent="0.25">
      <c r="B466" s="17">
        <f t="shared" si="7"/>
        <v>45471</v>
      </c>
      <c r="D466" s="18">
        <v>0</v>
      </c>
      <c r="E466" s="18">
        <v>0</v>
      </c>
      <c r="J466" s="17"/>
    </row>
    <row r="467" spans="2:10" x14ac:dyDescent="0.25">
      <c r="B467" s="17">
        <f t="shared" si="7"/>
        <v>45472</v>
      </c>
      <c r="D467" s="18">
        <v>0</v>
      </c>
      <c r="E467" s="18">
        <v>0</v>
      </c>
      <c r="J467" s="17"/>
    </row>
    <row r="468" spans="2:10" x14ac:dyDescent="0.25">
      <c r="B468" s="17">
        <f t="shared" si="7"/>
        <v>45473</v>
      </c>
      <c r="D468" s="18">
        <v>0</v>
      </c>
      <c r="E468" s="18">
        <v>0</v>
      </c>
      <c r="J468" s="17"/>
    </row>
    <row r="469" spans="2:10" x14ac:dyDescent="0.25">
      <c r="B469" s="17">
        <f t="shared" si="7"/>
        <v>45474</v>
      </c>
      <c r="D469" s="18">
        <v>0</v>
      </c>
      <c r="E469" s="18">
        <v>0</v>
      </c>
      <c r="J469" s="17"/>
    </row>
    <row r="470" spans="2:10" x14ac:dyDescent="0.25">
      <c r="B470" s="17">
        <f t="shared" si="7"/>
        <v>45475</v>
      </c>
      <c r="D470" s="18">
        <v>0</v>
      </c>
      <c r="E470" s="18">
        <v>0</v>
      </c>
      <c r="J470" s="17"/>
    </row>
    <row r="471" spans="2:10" x14ac:dyDescent="0.25">
      <c r="B471" s="17">
        <f t="shared" si="7"/>
        <v>45476</v>
      </c>
      <c r="D471" s="18">
        <v>0</v>
      </c>
      <c r="E471" s="18">
        <v>0</v>
      </c>
      <c r="J471" s="17"/>
    </row>
    <row r="472" spans="2:10" x14ac:dyDescent="0.25">
      <c r="B472" s="17">
        <f t="shared" si="7"/>
        <v>45477</v>
      </c>
      <c r="D472" s="18">
        <v>0</v>
      </c>
      <c r="E472" s="18">
        <v>0</v>
      </c>
      <c r="J472" s="17"/>
    </row>
    <row r="473" spans="2:10" x14ac:dyDescent="0.25">
      <c r="B473" s="17">
        <f t="shared" si="7"/>
        <v>45478</v>
      </c>
      <c r="D473" s="18">
        <v>0</v>
      </c>
      <c r="E473" s="18">
        <v>0</v>
      </c>
      <c r="J473" s="17"/>
    </row>
    <row r="474" spans="2:10" x14ac:dyDescent="0.25">
      <c r="B474" s="17">
        <f t="shared" si="7"/>
        <v>45479</v>
      </c>
      <c r="D474" s="18">
        <v>0</v>
      </c>
      <c r="E474" s="18">
        <v>0</v>
      </c>
      <c r="J474" s="17"/>
    </row>
    <row r="475" spans="2:10" x14ac:dyDescent="0.25">
      <c r="B475" s="17">
        <f t="shared" si="7"/>
        <v>45480</v>
      </c>
      <c r="D475" s="18">
        <v>0</v>
      </c>
      <c r="E475" s="18">
        <v>0</v>
      </c>
      <c r="J475" s="17"/>
    </row>
    <row r="476" spans="2:10" x14ac:dyDescent="0.25">
      <c r="B476" s="17">
        <f t="shared" si="7"/>
        <v>45481</v>
      </c>
      <c r="D476" s="18">
        <v>0</v>
      </c>
      <c r="E476" s="18">
        <v>0</v>
      </c>
      <c r="J476" s="17"/>
    </row>
    <row r="477" spans="2:10" x14ac:dyDescent="0.25">
      <c r="B477" s="17">
        <f t="shared" si="7"/>
        <v>45482</v>
      </c>
      <c r="D477" s="18">
        <v>0</v>
      </c>
      <c r="E477" s="18">
        <v>0</v>
      </c>
      <c r="J477" s="17"/>
    </row>
    <row r="478" spans="2:10" x14ac:dyDescent="0.25">
      <c r="B478" s="17">
        <f t="shared" si="7"/>
        <v>45483</v>
      </c>
      <c r="D478" s="18">
        <v>0</v>
      </c>
      <c r="E478" s="18">
        <v>0</v>
      </c>
      <c r="J478" s="17"/>
    </row>
    <row r="479" spans="2:10" x14ac:dyDescent="0.25">
      <c r="B479" s="17">
        <f t="shared" si="7"/>
        <v>45484</v>
      </c>
      <c r="D479" s="18">
        <v>0</v>
      </c>
      <c r="E479" s="18">
        <v>0</v>
      </c>
      <c r="J479" s="17"/>
    </row>
    <row r="480" spans="2:10" x14ac:dyDescent="0.25">
      <c r="B480" s="17">
        <f t="shared" si="7"/>
        <v>45485</v>
      </c>
      <c r="D480" s="18">
        <v>0</v>
      </c>
      <c r="E480" s="18">
        <v>0</v>
      </c>
      <c r="J480" s="17"/>
    </row>
    <row r="481" spans="2:10" x14ac:dyDescent="0.25">
      <c r="B481" s="17">
        <f t="shared" si="7"/>
        <v>45486</v>
      </c>
      <c r="D481" s="18">
        <v>0</v>
      </c>
      <c r="E481" s="18">
        <v>0</v>
      </c>
      <c r="J481" s="17"/>
    </row>
    <row r="482" spans="2:10" x14ac:dyDescent="0.25">
      <c r="B482" s="17">
        <f t="shared" si="7"/>
        <v>45487</v>
      </c>
      <c r="D482" s="18">
        <v>0</v>
      </c>
      <c r="E482" s="18">
        <v>0</v>
      </c>
      <c r="J482" s="17"/>
    </row>
    <row r="483" spans="2:10" x14ac:dyDescent="0.25">
      <c r="B483" s="17">
        <f t="shared" si="7"/>
        <v>45488</v>
      </c>
      <c r="D483" s="18">
        <v>0</v>
      </c>
      <c r="E483" s="18">
        <v>0</v>
      </c>
      <c r="J483" s="17"/>
    </row>
    <row r="484" spans="2:10" x14ac:dyDescent="0.25">
      <c r="B484" s="17">
        <f t="shared" si="7"/>
        <v>45489</v>
      </c>
      <c r="D484" s="18">
        <v>0</v>
      </c>
      <c r="E484" s="18">
        <v>0</v>
      </c>
      <c r="J484" s="17"/>
    </row>
    <row r="485" spans="2:10" x14ac:dyDescent="0.25">
      <c r="B485" s="17">
        <f t="shared" si="7"/>
        <v>45490</v>
      </c>
      <c r="D485" s="18">
        <v>0</v>
      </c>
      <c r="E485" s="18">
        <v>0</v>
      </c>
      <c r="J485" s="17"/>
    </row>
    <row r="486" spans="2:10" x14ac:dyDescent="0.25">
      <c r="B486" s="17">
        <f t="shared" si="7"/>
        <v>45491</v>
      </c>
      <c r="D486" s="18">
        <v>0</v>
      </c>
      <c r="E486" s="18">
        <v>0</v>
      </c>
      <c r="J486" s="17"/>
    </row>
    <row r="487" spans="2:10" x14ac:dyDescent="0.25">
      <c r="B487" s="17">
        <f t="shared" si="7"/>
        <v>45492</v>
      </c>
      <c r="D487" s="18">
        <v>0</v>
      </c>
      <c r="E487" s="18">
        <v>0</v>
      </c>
      <c r="J487" s="17"/>
    </row>
    <row r="488" spans="2:10" x14ac:dyDescent="0.25">
      <c r="B488" s="17">
        <f t="shared" si="7"/>
        <v>45493</v>
      </c>
      <c r="D488" s="18">
        <v>0</v>
      </c>
      <c r="E488" s="18">
        <v>0</v>
      </c>
      <c r="J488" s="17"/>
    </row>
    <row r="489" spans="2:10" x14ac:dyDescent="0.25">
      <c r="B489" s="17">
        <f t="shared" si="7"/>
        <v>45494</v>
      </c>
      <c r="D489" s="18">
        <v>0</v>
      </c>
      <c r="E489" s="18">
        <v>0</v>
      </c>
      <c r="J489" s="17"/>
    </row>
    <row r="490" spans="2:10" x14ac:dyDescent="0.25">
      <c r="B490" s="17">
        <f t="shared" si="7"/>
        <v>45495</v>
      </c>
      <c r="D490" s="18">
        <v>0</v>
      </c>
      <c r="E490" s="18">
        <v>0</v>
      </c>
      <c r="J490" s="17"/>
    </row>
    <row r="491" spans="2:10" x14ac:dyDescent="0.25">
      <c r="B491" s="17">
        <f t="shared" si="7"/>
        <v>45496</v>
      </c>
      <c r="D491" s="18">
        <v>0</v>
      </c>
      <c r="E491" s="18">
        <v>0</v>
      </c>
      <c r="J491" s="17"/>
    </row>
    <row r="492" spans="2:10" x14ac:dyDescent="0.25">
      <c r="B492" s="17">
        <f t="shared" si="7"/>
        <v>45497</v>
      </c>
      <c r="D492" s="18">
        <v>0</v>
      </c>
      <c r="E492" s="18">
        <v>0</v>
      </c>
      <c r="J492" s="17"/>
    </row>
    <row r="493" spans="2:10" x14ac:dyDescent="0.25">
      <c r="B493" s="17">
        <f t="shared" si="7"/>
        <v>45498</v>
      </c>
      <c r="D493" s="18">
        <v>0</v>
      </c>
      <c r="E493" s="18">
        <v>0</v>
      </c>
      <c r="J493" s="17"/>
    </row>
    <row r="494" spans="2:10" x14ac:dyDescent="0.25">
      <c r="B494" s="17">
        <f t="shared" si="7"/>
        <v>45499</v>
      </c>
      <c r="D494" s="18">
        <v>0</v>
      </c>
      <c r="E494" s="18">
        <v>0</v>
      </c>
      <c r="J494" s="17"/>
    </row>
    <row r="495" spans="2:10" x14ac:dyDescent="0.25">
      <c r="B495" s="17">
        <f t="shared" si="7"/>
        <v>45500</v>
      </c>
      <c r="D495" s="18">
        <v>0</v>
      </c>
      <c r="E495" s="18">
        <v>0</v>
      </c>
      <c r="J495" s="17"/>
    </row>
    <row r="496" spans="2:10" x14ac:dyDescent="0.25">
      <c r="B496" s="17">
        <f t="shared" si="7"/>
        <v>45501</v>
      </c>
      <c r="D496" s="18">
        <v>0</v>
      </c>
      <c r="E496" s="18">
        <v>0</v>
      </c>
      <c r="J496" s="17"/>
    </row>
    <row r="497" spans="2:10" x14ac:dyDescent="0.25">
      <c r="B497" s="17">
        <f t="shared" si="7"/>
        <v>45502</v>
      </c>
      <c r="D497" s="18">
        <v>0</v>
      </c>
      <c r="E497" s="18">
        <v>0</v>
      </c>
      <c r="J497" s="17"/>
    </row>
    <row r="498" spans="2:10" x14ac:dyDescent="0.25">
      <c r="B498" s="17">
        <f t="shared" si="7"/>
        <v>45503</v>
      </c>
      <c r="D498" s="18">
        <v>0</v>
      </c>
      <c r="E498" s="18">
        <v>0</v>
      </c>
      <c r="J498" s="17"/>
    </row>
    <row r="499" spans="2:10" x14ac:dyDescent="0.25">
      <c r="B499" s="17">
        <f t="shared" si="7"/>
        <v>45504</v>
      </c>
      <c r="D499" s="18">
        <v>0</v>
      </c>
      <c r="E499" s="18">
        <v>0</v>
      </c>
      <c r="J499" s="17"/>
    </row>
    <row r="500" spans="2:10" x14ac:dyDescent="0.25">
      <c r="B500" s="17">
        <f t="shared" si="7"/>
        <v>45505</v>
      </c>
      <c r="D500" s="18">
        <v>0</v>
      </c>
      <c r="E500" s="18">
        <v>0</v>
      </c>
      <c r="J500" s="17"/>
    </row>
    <row r="501" spans="2:10" x14ac:dyDescent="0.25">
      <c r="B501" s="17">
        <f t="shared" si="7"/>
        <v>45506</v>
      </c>
      <c r="D501" s="18">
        <v>0</v>
      </c>
      <c r="E501" s="18">
        <v>0</v>
      </c>
      <c r="J501" s="17"/>
    </row>
    <row r="502" spans="2:10" x14ac:dyDescent="0.25">
      <c r="B502" s="17">
        <f t="shared" si="7"/>
        <v>45507</v>
      </c>
      <c r="D502" s="18">
        <v>0</v>
      </c>
      <c r="E502" s="18">
        <v>0</v>
      </c>
      <c r="J502" s="17"/>
    </row>
    <row r="503" spans="2:10" x14ac:dyDescent="0.25">
      <c r="B503" s="17">
        <f t="shared" si="7"/>
        <v>45508</v>
      </c>
      <c r="D503" s="18">
        <v>0</v>
      </c>
      <c r="E503" s="18">
        <v>0</v>
      </c>
      <c r="J503" s="17"/>
    </row>
    <row r="504" spans="2:10" x14ac:dyDescent="0.25">
      <c r="B504" s="17">
        <f t="shared" si="7"/>
        <v>45509</v>
      </c>
      <c r="D504" s="18">
        <v>0</v>
      </c>
      <c r="E504" s="18">
        <v>0</v>
      </c>
      <c r="J504" s="17"/>
    </row>
    <row r="505" spans="2:10" x14ac:dyDescent="0.25">
      <c r="B505" s="17">
        <f t="shared" si="7"/>
        <v>45510</v>
      </c>
      <c r="D505" s="18">
        <v>0</v>
      </c>
      <c r="E505" s="18">
        <v>0</v>
      </c>
      <c r="J505" s="17"/>
    </row>
    <row r="506" spans="2:10" x14ac:dyDescent="0.25">
      <c r="B506" s="17">
        <f t="shared" si="7"/>
        <v>45511</v>
      </c>
      <c r="D506" s="18">
        <v>0</v>
      </c>
      <c r="E506" s="18">
        <v>0</v>
      </c>
      <c r="J506" s="17"/>
    </row>
    <row r="507" spans="2:10" x14ac:dyDescent="0.25">
      <c r="B507" s="17">
        <f t="shared" si="7"/>
        <v>45512</v>
      </c>
      <c r="D507" s="18">
        <v>0</v>
      </c>
      <c r="E507" s="18">
        <v>0</v>
      </c>
      <c r="J507" s="17"/>
    </row>
    <row r="508" spans="2:10" x14ac:dyDescent="0.25">
      <c r="B508" s="17">
        <f t="shared" si="7"/>
        <v>45513</v>
      </c>
      <c r="D508" s="18">
        <v>0</v>
      </c>
      <c r="E508" s="18">
        <v>0</v>
      </c>
      <c r="J508" s="17"/>
    </row>
    <row r="509" spans="2:10" x14ac:dyDescent="0.25">
      <c r="B509" s="17">
        <f t="shared" si="7"/>
        <v>45514</v>
      </c>
      <c r="D509" s="18">
        <v>0</v>
      </c>
      <c r="E509" s="18">
        <v>0</v>
      </c>
      <c r="J509" s="17"/>
    </row>
    <row r="510" spans="2:10" x14ac:dyDescent="0.25">
      <c r="B510" s="17">
        <f t="shared" si="7"/>
        <v>45515</v>
      </c>
      <c r="D510" s="18">
        <v>0</v>
      </c>
      <c r="E510" s="18">
        <v>0</v>
      </c>
      <c r="J510" s="17"/>
    </row>
    <row r="511" spans="2:10" x14ac:dyDescent="0.25">
      <c r="B511" s="17">
        <f t="shared" si="7"/>
        <v>45516</v>
      </c>
      <c r="D511" s="18">
        <v>0</v>
      </c>
      <c r="E511" s="18">
        <v>0</v>
      </c>
      <c r="J511" s="17"/>
    </row>
    <row r="512" spans="2:10" x14ac:dyDescent="0.25">
      <c r="B512" s="17">
        <f t="shared" si="7"/>
        <v>45517</v>
      </c>
      <c r="D512" s="18">
        <v>0</v>
      </c>
      <c r="E512" s="18">
        <v>0</v>
      </c>
      <c r="J512" s="17"/>
    </row>
    <row r="513" spans="2:10" x14ac:dyDescent="0.25">
      <c r="B513" s="17">
        <f t="shared" si="7"/>
        <v>45518</v>
      </c>
      <c r="D513" s="18">
        <v>0</v>
      </c>
      <c r="E513" s="18">
        <v>0</v>
      </c>
      <c r="J513" s="17"/>
    </row>
    <row r="514" spans="2:10" x14ac:dyDescent="0.25">
      <c r="B514" s="17">
        <f t="shared" si="7"/>
        <v>45519</v>
      </c>
      <c r="D514" s="18">
        <v>0</v>
      </c>
      <c r="E514" s="18">
        <v>0</v>
      </c>
      <c r="J514" s="17"/>
    </row>
    <row r="515" spans="2:10" x14ac:dyDescent="0.25">
      <c r="B515" s="17">
        <f t="shared" si="7"/>
        <v>45520</v>
      </c>
      <c r="D515" s="18">
        <v>0</v>
      </c>
      <c r="E515" s="18">
        <v>0</v>
      </c>
      <c r="J515" s="17"/>
    </row>
    <row r="516" spans="2:10" x14ac:dyDescent="0.25">
      <c r="B516" s="17">
        <f t="shared" si="7"/>
        <v>45521</v>
      </c>
      <c r="D516" s="18">
        <v>0</v>
      </c>
      <c r="E516" s="18">
        <v>0</v>
      </c>
      <c r="J516" s="17"/>
    </row>
    <row r="517" spans="2:10" x14ac:dyDescent="0.25">
      <c r="B517" s="17">
        <f t="shared" si="7"/>
        <v>45522</v>
      </c>
      <c r="D517" s="18">
        <v>0</v>
      </c>
      <c r="E517" s="18">
        <v>0</v>
      </c>
      <c r="J517" s="17"/>
    </row>
    <row r="518" spans="2:10" x14ac:dyDescent="0.25">
      <c r="B518" s="17">
        <f t="shared" si="7"/>
        <v>45523</v>
      </c>
      <c r="D518" s="18">
        <v>0</v>
      </c>
      <c r="E518" s="18">
        <v>0</v>
      </c>
      <c r="J518" s="17"/>
    </row>
    <row r="519" spans="2:10" x14ac:dyDescent="0.25">
      <c r="B519" s="17">
        <f t="shared" si="7"/>
        <v>45524</v>
      </c>
      <c r="D519" s="18">
        <v>0</v>
      </c>
      <c r="E519" s="18">
        <v>0</v>
      </c>
      <c r="J519" s="17"/>
    </row>
    <row r="520" spans="2:10" x14ac:dyDescent="0.25">
      <c r="B520" s="17">
        <f t="shared" si="7"/>
        <v>45525</v>
      </c>
      <c r="D520" s="18">
        <v>0</v>
      </c>
      <c r="E520" s="18">
        <v>0</v>
      </c>
      <c r="J520" s="17"/>
    </row>
    <row r="521" spans="2:10" x14ac:dyDescent="0.25">
      <c r="B521" s="17">
        <f t="shared" si="7"/>
        <v>45526</v>
      </c>
      <c r="D521" s="18">
        <v>0</v>
      </c>
      <c r="E521" s="18">
        <v>0</v>
      </c>
      <c r="J521" s="17"/>
    </row>
    <row r="522" spans="2:10" x14ac:dyDescent="0.25">
      <c r="B522" s="17">
        <f t="shared" si="7"/>
        <v>45527</v>
      </c>
      <c r="D522" s="18">
        <v>0</v>
      </c>
      <c r="E522" s="18">
        <v>0</v>
      </c>
      <c r="J522" s="17"/>
    </row>
    <row r="523" spans="2:10" x14ac:dyDescent="0.25">
      <c r="B523" s="17">
        <f t="shared" si="7"/>
        <v>45528</v>
      </c>
      <c r="D523" s="18">
        <v>0</v>
      </c>
      <c r="E523" s="18">
        <v>0</v>
      </c>
      <c r="J523" s="17"/>
    </row>
    <row r="524" spans="2:10" x14ac:dyDescent="0.25">
      <c r="B524" s="17">
        <f t="shared" si="7"/>
        <v>45529</v>
      </c>
      <c r="D524" s="18">
        <v>0</v>
      </c>
      <c r="E524" s="18">
        <v>0</v>
      </c>
      <c r="J524" s="17"/>
    </row>
    <row r="525" spans="2:10" x14ac:dyDescent="0.25">
      <c r="B525" s="17">
        <f t="shared" si="7"/>
        <v>45530</v>
      </c>
      <c r="D525" s="18">
        <v>0</v>
      </c>
      <c r="E525" s="18">
        <v>0</v>
      </c>
      <c r="J525" s="17"/>
    </row>
    <row r="526" spans="2:10" x14ac:dyDescent="0.25">
      <c r="B526" s="17">
        <f t="shared" ref="B526:B589" si="8">B525+1</f>
        <v>45531</v>
      </c>
      <c r="D526" s="18">
        <v>0</v>
      </c>
      <c r="E526" s="18">
        <v>0</v>
      </c>
      <c r="J526" s="17"/>
    </row>
    <row r="527" spans="2:10" x14ac:dyDescent="0.25">
      <c r="B527" s="17">
        <f t="shared" si="8"/>
        <v>45532</v>
      </c>
      <c r="D527" s="18">
        <v>0</v>
      </c>
      <c r="E527" s="18">
        <v>0</v>
      </c>
      <c r="J527" s="17"/>
    </row>
    <row r="528" spans="2:10" x14ac:dyDescent="0.25">
      <c r="B528" s="17">
        <f t="shared" si="8"/>
        <v>45533</v>
      </c>
      <c r="D528" s="18">
        <v>0</v>
      </c>
      <c r="E528" s="18">
        <v>0</v>
      </c>
      <c r="J528" s="17"/>
    </row>
    <row r="529" spans="2:10" x14ac:dyDescent="0.25">
      <c r="B529" s="17">
        <f t="shared" si="8"/>
        <v>45534</v>
      </c>
      <c r="D529" s="18">
        <v>0</v>
      </c>
      <c r="E529" s="18">
        <v>0</v>
      </c>
      <c r="J529" s="17"/>
    </row>
    <row r="530" spans="2:10" x14ac:dyDescent="0.25">
      <c r="B530" s="17">
        <f t="shared" si="8"/>
        <v>45535</v>
      </c>
      <c r="D530" s="18">
        <v>0</v>
      </c>
      <c r="E530" s="18">
        <v>0</v>
      </c>
      <c r="J530" s="17"/>
    </row>
    <row r="531" spans="2:10" x14ac:dyDescent="0.25">
      <c r="B531" s="17">
        <f t="shared" si="8"/>
        <v>45536</v>
      </c>
      <c r="D531" s="18">
        <v>0</v>
      </c>
      <c r="E531" s="18">
        <v>0</v>
      </c>
      <c r="J531" s="17"/>
    </row>
    <row r="532" spans="2:10" x14ac:dyDescent="0.25">
      <c r="B532" s="17">
        <f t="shared" si="8"/>
        <v>45537</v>
      </c>
      <c r="D532" s="18">
        <v>0</v>
      </c>
      <c r="E532" s="18">
        <v>0</v>
      </c>
      <c r="J532" s="17"/>
    </row>
    <row r="533" spans="2:10" x14ac:dyDescent="0.25">
      <c r="B533" s="17">
        <f t="shared" si="8"/>
        <v>45538</v>
      </c>
      <c r="D533" s="18">
        <v>0</v>
      </c>
      <c r="E533" s="18">
        <v>0</v>
      </c>
      <c r="J533" s="17"/>
    </row>
    <row r="534" spans="2:10" x14ac:dyDescent="0.25">
      <c r="B534" s="17">
        <f t="shared" si="8"/>
        <v>45539</v>
      </c>
      <c r="D534" s="18">
        <v>0</v>
      </c>
      <c r="E534" s="18">
        <v>0</v>
      </c>
      <c r="J534" s="17"/>
    </row>
    <row r="535" spans="2:10" x14ac:dyDescent="0.25">
      <c r="B535" s="17">
        <f t="shared" si="8"/>
        <v>45540</v>
      </c>
      <c r="D535" s="18">
        <v>0</v>
      </c>
      <c r="E535" s="18">
        <v>0</v>
      </c>
      <c r="J535" s="17"/>
    </row>
    <row r="536" spans="2:10" x14ac:dyDescent="0.25">
      <c r="B536" s="17">
        <f t="shared" si="8"/>
        <v>45541</v>
      </c>
      <c r="D536" s="18">
        <v>0</v>
      </c>
      <c r="E536" s="18">
        <v>0</v>
      </c>
      <c r="J536" s="17"/>
    </row>
    <row r="537" spans="2:10" x14ac:dyDescent="0.25">
      <c r="B537" s="17">
        <f t="shared" si="8"/>
        <v>45542</v>
      </c>
      <c r="D537" s="18">
        <v>0</v>
      </c>
      <c r="E537" s="18">
        <v>0</v>
      </c>
      <c r="J537" s="17"/>
    </row>
    <row r="538" spans="2:10" x14ac:dyDescent="0.25">
      <c r="B538" s="17">
        <f t="shared" si="8"/>
        <v>45543</v>
      </c>
      <c r="D538" s="18">
        <v>0</v>
      </c>
      <c r="E538" s="18">
        <v>0</v>
      </c>
      <c r="J538" s="17"/>
    </row>
    <row r="539" spans="2:10" x14ac:dyDescent="0.25">
      <c r="B539" s="17">
        <f t="shared" si="8"/>
        <v>45544</v>
      </c>
      <c r="D539" s="18">
        <v>0</v>
      </c>
      <c r="E539" s="18">
        <v>0</v>
      </c>
      <c r="J539" s="17"/>
    </row>
    <row r="540" spans="2:10" x14ac:dyDescent="0.25">
      <c r="B540" s="17">
        <f t="shared" si="8"/>
        <v>45545</v>
      </c>
      <c r="D540" s="18">
        <v>0</v>
      </c>
      <c r="E540" s="18">
        <v>0</v>
      </c>
      <c r="J540" s="17"/>
    </row>
    <row r="541" spans="2:10" x14ac:dyDescent="0.25">
      <c r="B541" s="17">
        <f t="shared" si="8"/>
        <v>45546</v>
      </c>
      <c r="D541" s="18">
        <v>0</v>
      </c>
      <c r="E541" s="18">
        <v>0</v>
      </c>
      <c r="J541" s="17"/>
    </row>
    <row r="542" spans="2:10" x14ac:dyDescent="0.25">
      <c r="B542" s="17">
        <f t="shared" si="8"/>
        <v>45547</v>
      </c>
      <c r="D542" s="18">
        <v>0</v>
      </c>
      <c r="E542" s="18">
        <v>0</v>
      </c>
      <c r="J542" s="17"/>
    </row>
    <row r="543" spans="2:10" x14ac:dyDescent="0.25">
      <c r="B543" s="17">
        <f t="shared" si="8"/>
        <v>45548</v>
      </c>
      <c r="D543" s="18">
        <v>0</v>
      </c>
      <c r="E543" s="18">
        <v>0</v>
      </c>
      <c r="J543" s="17"/>
    </row>
    <row r="544" spans="2:10" x14ac:dyDescent="0.25">
      <c r="B544" s="17">
        <f t="shared" si="8"/>
        <v>45549</v>
      </c>
      <c r="D544" s="18">
        <v>0</v>
      </c>
      <c r="E544" s="18">
        <v>0</v>
      </c>
      <c r="J544" s="17"/>
    </row>
    <row r="545" spans="2:10" x14ac:dyDescent="0.25">
      <c r="B545" s="17">
        <f t="shared" si="8"/>
        <v>45550</v>
      </c>
      <c r="D545" s="18">
        <v>0</v>
      </c>
      <c r="E545" s="18">
        <v>0</v>
      </c>
      <c r="J545" s="17"/>
    </row>
    <row r="546" spans="2:10" x14ac:dyDescent="0.25">
      <c r="B546" s="17">
        <f t="shared" si="8"/>
        <v>45551</v>
      </c>
      <c r="D546" s="18">
        <v>0</v>
      </c>
      <c r="E546" s="18">
        <v>0</v>
      </c>
      <c r="J546" s="17"/>
    </row>
    <row r="547" spans="2:10" x14ac:dyDescent="0.25">
      <c r="B547" s="17">
        <f t="shared" si="8"/>
        <v>45552</v>
      </c>
      <c r="D547" s="18">
        <v>0</v>
      </c>
      <c r="E547" s="18">
        <v>0</v>
      </c>
      <c r="J547" s="17"/>
    </row>
    <row r="548" spans="2:10" x14ac:dyDescent="0.25">
      <c r="B548" s="17">
        <f t="shared" si="8"/>
        <v>45553</v>
      </c>
      <c r="D548" s="18">
        <v>0</v>
      </c>
      <c r="E548" s="18">
        <v>0</v>
      </c>
      <c r="J548" s="17"/>
    </row>
    <row r="549" spans="2:10" x14ac:dyDescent="0.25">
      <c r="B549" s="17">
        <f t="shared" si="8"/>
        <v>45554</v>
      </c>
      <c r="D549" s="18">
        <v>0</v>
      </c>
      <c r="E549" s="18">
        <v>0</v>
      </c>
      <c r="J549" s="17"/>
    </row>
    <row r="550" spans="2:10" x14ac:dyDescent="0.25">
      <c r="B550" s="17">
        <f t="shared" si="8"/>
        <v>45555</v>
      </c>
      <c r="D550" s="18">
        <v>0</v>
      </c>
      <c r="E550" s="18">
        <v>0</v>
      </c>
      <c r="J550" s="17"/>
    </row>
    <row r="551" spans="2:10" x14ac:dyDescent="0.25">
      <c r="B551" s="17">
        <f t="shared" si="8"/>
        <v>45556</v>
      </c>
      <c r="D551" s="18">
        <v>0</v>
      </c>
      <c r="E551" s="18">
        <v>0</v>
      </c>
      <c r="J551" s="17"/>
    </row>
    <row r="552" spans="2:10" x14ac:dyDescent="0.25">
      <c r="B552" s="17">
        <f t="shared" si="8"/>
        <v>45557</v>
      </c>
      <c r="D552" s="18">
        <v>0</v>
      </c>
      <c r="E552" s="18">
        <v>0</v>
      </c>
      <c r="J552" s="17"/>
    </row>
    <row r="553" spans="2:10" x14ac:dyDescent="0.25">
      <c r="B553" s="17">
        <f t="shared" si="8"/>
        <v>45558</v>
      </c>
      <c r="D553" s="18">
        <v>0</v>
      </c>
      <c r="E553" s="18">
        <v>0</v>
      </c>
      <c r="J553" s="17"/>
    </row>
    <row r="554" spans="2:10" x14ac:dyDescent="0.25">
      <c r="B554" s="17">
        <f t="shared" si="8"/>
        <v>45559</v>
      </c>
      <c r="D554" s="18">
        <v>0</v>
      </c>
      <c r="E554" s="18">
        <v>0</v>
      </c>
      <c r="J554" s="17"/>
    </row>
    <row r="555" spans="2:10" x14ac:dyDescent="0.25">
      <c r="B555" s="17">
        <f t="shared" si="8"/>
        <v>45560</v>
      </c>
      <c r="D555" s="18">
        <v>0</v>
      </c>
      <c r="E555" s="18">
        <v>0</v>
      </c>
      <c r="J555" s="17"/>
    </row>
    <row r="556" spans="2:10" x14ac:dyDescent="0.25">
      <c r="B556" s="17">
        <f t="shared" si="8"/>
        <v>45561</v>
      </c>
      <c r="D556" s="18">
        <v>0</v>
      </c>
      <c r="E556" s="18">
        <v>0</v>
      </c>
      <c r="J556" s="17"/>
    </row>
    <row r="557" spans="2:10" x14ac:dyDescent="0.25">
      <c r="B557" s="17">
        <f t="shared" si="8"/>
        <v>45562</v>
      </c>
      <c r="D557" s="18">
        <v>0</v>
      </c>
      <c r="E557" s="18">
        <v>0</v>
      </c>
      <c r="J557" s="17"/>
    </row>
    <row r="558" spans="2:10" x14ac:dyDescent="0.25">
      <c r="B558" s="17">
        <f t="shared" si="8"/>
        <v>45563</v>
      </c>
      <c r="D558" s="18">
        <v>0</v>
      </c>
      <c r="E558" s="18">
        <v>0</v>
      </c>
      <c r="J558" s="17"/>
    </row>
    <row r="559" spans="2:10" x14ac:dyDescent="0.25">
      <c r="B559" s="17">
        <f t="shared" si="8"/>
        <v>45564</v>
      </c>
      <c r="D559" s="18">
        <v>0</v>
      </c>
      <c r="E559" s="18">
        <v>0</v>
      </c>
      <c r="J559" s="17"/>
    </row>
    <row r="560" spans="2:10" x14ac:dyDescent="0.25">
      <c r="B560" s="17">
        <f t="shared" si="8"/>
        <v>45565</v>
      </c>
      <c r="D560" s="18">
        <v>0</v>
      </c>
      <c r="E560" s="18">
        <v>0</v>
      </c>
      <c r="J560" s="17"/>
    </row>
    <row r="561" spans="2:10" x14ac:dyDescent="0.25">
      <c r="B561" s="17">
        <f t="shared" si="8"/>
        <v>45566</v>
      </c>
      <c r="D561" s="18">
        <v>0</v>
      </c>
      <c r="E561" s="18">
        <v>0</v>
      </c>
      <c r="J561" s="17"/>
    </row>
    <row r="562" spans="2:10" x14ac:dyDescent="0.25">
      <c r="B562" s="17">
        <f t="shared" si="8"/>
        <v>45567</v>
      </c>
      <c r="D562" s="18">
        <v>0</v>
      </c>
      <c r="E562" s="18">
        <v>0</v>
      </c>
      <c r="J562" s="17"/>
    </row>
    <row r="563" spans="2:10" x14ac:dyDescent="0.25">
      <c r="B563" s="17">
        <f t="shared" si="8"/>
        <v>45568</v>
      </c>
      <c r="D563" s="18">
        <v>0</v>
      </c>
      <c r="E563" s="18">
        <v>0</v>
      </c>
      <c r="J563" s="17"/>
    </row>
    <row r="564" spans="2:10" x14ac:dyDescent="0.25">
      <c r="B564" s="17">
        <f t="shared" si="8"/>
        <v>45569</v>
      </c>
      <c r="D564" s="18">
        <v>0</v>
      </c>
      <c r="E564" s="18">
        <v>0</v>
      </c>
      <c r="J564" s="17"/>
    </row>
    <row r="565" spans="2:10" x14ac:dyDescent="0.25">
      <c r="B565" s="17">
        <f t="shared" si="8"/>
        <v>45570</v>
      </c>
      <c r="D565" s="18">
        <v>0</v>
      </c>
      <c r="E565" s="18">
        <v>0</v>
      </c>
      <c r="J565" s="17"/>
    </row>
    <row r="566" spans="2:10" x14ac:dyDescent="0.25">
      <c r="B566" s="17">
        <f t="shared" si="8"/>
        <v>45571</v>
      </c>
      <c r="D566" s="18">
        <v>0</v>
      </c>
      <c r="E566" s="18">
        <v>0</v>
      </c>
      <c r="J566" s="17"/>
    </row>
    <row r="567" spans="2:10" x14ac:dyDescent="0.25">
      <c r="B567" s="17">
        <f t="shared" si="8"/>
        <v>45572</v>
      </c>
      <c r="D567" s="18">
        <v>0</v>
      </c>
      <c r="E567" s="18">
        <v>0</v>
      </c>
      <c r="J567" s="17"/>
    </row>
    <row r="568" spans="2:10" x14ac:dyDescent="0.25">
      <c r="B568" s="17">
        <f t="shared" si="8"/>
        <v>45573</v>
      </c>
      <c r="D568" s="18">
        <v>0</v>
      </c>
      <c r="E568" s="18">
        <v>0</v>
      </c>
      <c r="J568" s="17"/>
    </row>
    <row r="569" spans="2:10" x14ac:dyDescent="0.25">
      <c r="B569" s="17">
        <f t="shared" si="8"/>
        <v>45574</v>
      </c>
      <c r="D569" s="18">
        <v>0</v>
      </c>
      <c r="E569" s="18">
        <v>0</v>
      </c>
      <c r="J569" s="17"/>
    </row>
    <row r="570" spans="2:10" x14ac:dyDescent="0.25">
      <c r="B570" s="17">
        <f t="shared" si="8"/>
        <v>45575</v>
      </c>
      <c r="D570" s="18">
        <v>0</v>
      </c>
      <c r="E570" s="18">
        <v>0</v>
      </c>
      <c r="J570" s="17"/>
    </row>
    <row r="571" spans="2:10" x14ac:dyDescent="0.25">
      <c r="B571" s="17">
        <f t="shared" si="8"/>
        <v>45576</v>
      </c>
      <c r="D571" s="18">
        <v>0</v>
      </c>
      <c r="E571" s="18">
        <v>0</v>
      </c>
      <c r="J571" s="17"/>
    </row>
    <row r="572" spans="2:10" x14ac:dyDescent="0.25">
      <c r="B572" s="17">
        <f t="shared" si="8"/>
        <v>45577</v>
      </c>
      <c r="D572" s="18">
        <v>0</v>
      </c>
      <c r="E572" s="18">
        <v>0</v>
      </c>
      <c r="J572" s="17"/>
    </row>
    <row r="573" spans="2:10" x14ac:dyDescent="0.25">
      <c r="B573" s="17">
        <f t="shared" si="8"/>
        <v>45578</v>
      </c>
      <c r="D573" s="18">
        <v>0</v>
      </c>
      <c r="E573" s="18">
        <v>0</v>
      </c>
      <c r="J573" s="17"/>
    </row>
    <row r="574" spans="2:10" x14ac:dyDescent="0.25">
      <c r="B574" s="17">
        <f t="shared" si="8"/>
        <v>45579</v>
      </c>
      <c r="D574" s="18">
        <v>0</v>
      </c>
      <c r="E574" s="18">
        <v>0</v>
      </c>
      <c r="J574" s="17"/>
    </row>
    <row r="575" spans="2:10" x14ac:dyDescent="0.25">
      <c r="B575" s="17">
        <f t="shared" si="8"/>
        <v>45580</v>
      </c>
      <c r="D575" s="18">
        <v>0</v>
      </c>
      <c r="E575" s="18">
        <v>0</v>
      </c>
      <c r="J575" s="17"/>
    </row>
    <row r="576" spans="2:10" x14ac:dyDescent="0.25">
      <c r="B576" s="17">
        <f t="shared" si="8"/>
        <v>45581</v>
      </c>
      <c r="D576" s="18">
        <v>0</v>
      </c>
      <c r="E576" s="18">
        <v>0</v>
      </c>
      <c r="J576" s="17"/>
    </row>
    <row r="577" spans="2:10" x14ac:dyDescent="0.25">
      <c r="B577" s="17">
        <f t="shared" si="8"/>
        <v>45582</v>
      </c>
      <c r="D577" s="18">
        <v>0</v>
      </c>
      <c r="E577" s="18">
        <v>0</v>
      </c>
      <c r="J577" s="17"/>
    </row>
    <row r="578" spans="2:10" x14ac:dyDescent="0.25">
      <c r="B578" s="17">
        <f t="shared" si="8"/>
        <v>45583</v>
      </c>
      <c r="D578" s="18">
        <v>0</v>
      </c>
      <c r="E578" s="18">
        <v>0</v>
      </c>
      <c r="J578" s="17"/>
    </row>
    <row r="579" spans="2:10" x14ac:dyDescent="0.25">
      <c r="B579" s="17">
        <f t="shared" si="8"/>
        <v>45584</v>
      </c>
      <c r="D579" s="18">
        <v>0</v>
      </c>
      <c r="E579" s="18">
        <v>0</v>
      </c>
      <c r="J579" s="17"/>
    </row>
    <row r="580" spans="2:10" x14ac:dyDescent="0.25">
      <c r="B580" s="17">
        <f t="shared" si="8"/>
        <v>45585</v>
      </c>
      <c r="D580" s="18">
        <v>0</v>
      </c>
      <c r="E580" s="18">
        <v>0</v>
      </c>
      <c r="J580" s="17"/>
    </row>
    <row r="581" spans="2:10" x14ac:dyDescent="0.25">
      <c r="B581" s="17">
        <f t="shared" si="8"/>
        <v>45586</v>
      </c>
      <c r="D581" s="18">
        <v>0</v>
      </c>
      <c r="E581" s="18">
        <v>0</v>
      </c>
      <c r="J581" s="17"/>
    </row>
    <row r="582" spans="2:10" x14ac:dyDescent="0.25">
      <c r="B582" s="17">
        <f t="shared" si="8"/>
        <v>45587</v>
      </c>
      <c r="D582" s="18">
        <v>0</v>
      </c>
      <c r="E582" s="18">
        <v>0</v>
      </c>
      <c r="J582" s="17"/>
    </row>
    <row r="583" spans="2:10" x14ac:dyDescent="0.25">
      <c r="B583" s="17">
        <f t="shared" si="8"/>
        <v>45588</v>
      </c>
      <c r="D583" s="18">
        <v>0</v>
      </c>
      <c r="E583" s="18">
        <v>0</v>
      </c>
      <c r="J583" s="17"/>
    </row>
    <row r="584" spans="2:10" x14ac:dyDescent="0.25">
      <c r="B584" s="17">
        <f t="shared" si="8"/>
        <v>45589</v>
      </c>
      <c r="D584" s="18">
        <v>0</v>
      </c>
      <c r="E584" s="18">
        <v>0</v>
      </c>
      <c r="J584" s="17"/>
    </row>
    <row r="585" spans="2:10" x14ac:dyDescent="0.25">
      <c r="B585" s="17">
        <f t="shared" si="8"/>
        <v>45590</v>
      </c>
      <c r="D585" s="18">
        <v>0</v>
      </c>
      <c r="E585" s="18">
        <v>0</v>
      </c>
      <c r="J585" s="17"/>
    </row>
    <row r="586" spans="2:10" x14ac:dyDescent="0.25">
      <c r="B586" s="17">
        <f t="shared" si="8"/>
        <v>45591</v>
      </c>
      <c r="D586" s="18">
        <v>0</v>
      </c>
      <c r="E586" s="18">
        <v>0</v>
      </c>
      <c r="J586" s="17"/>
    </row>
    <row r="587" spans="2:10" x14ac:dyDescent="0.25">
      <c r="B587" s="17">
        <f t="shared" si="8"/>
        <v>45592</v>
      </c>
      <c r="D587" s="18">
        <v>0</v>
      </c>
      <c r="E587" s="18">
        <v>0</v>
      </c>
      <c r="J587" s="17"/>
    </row>
    <row r="588" spans="2:10" x14ac:dyDescent="0.25">
      <c r="B588" s="17">
        <f t="shared" si="8"/>
        <v>45593</v>
      </c>
      <c r="D588" s="18">
        <v>0</v>
      </c>
      <c r="E588" s="18">
        <v>0</v>
      </c>
      <c r="J588" s="17"/>
    </row>
    <row r="589" spans="2:10" x14ac:dyDescent="0.25">
      <c r="B589" s="17">
        <f t="shared" si="8"/>
        <v>45594</v>
      </c>
      <c r="D589" s="18">
        <v>0</v>
      </c>
      <c r="E589" s="18">
        <v>0</v>
      </c>
      <c r="J589" s="17"/>
    </row>
    <row r="590" spans="2:10" x14ac:dyDescent="0.25">
      <c r="B590" s="17">
        <f t="shared" ref="B590:B653" si="9">B589+1</f>
        <v>45595</v>
      </c>
      <c r="D590" s="18">
        <v>0</v>
      </c>
      <c r="E590" s="18">
        <v>0</v>
      </c>
      <c r="J590" s="17"/>
    </row>
    <row r="591" spans="2:10" x14ac:dyDescent="0.25">
      <c r="B591" s="17">
        <f t="shared" si="9"/>
        <v>45596</v>
      </c>
      <c r="D591" s="18">
        <v>0</v>
      </c>
      <c r="E591" s="18">
        <v>0</v>
      </c>
      <c r="J591" s="17"/>
    </row>
    <row r="592" spans="2:10" x14ac:dyDescent="0.25">
      <c r="B592" s="17">
        <f t="shared" si="9"/>
        <v>45597</v>
      </c>
      <c r="D592" s="18">
        <v>0</v>
      </c>
      <c r="E592" s="18">
        <v>0</v>
      </c>
      <c r="J592" s="17"/>
    </row>
    <row r="593" spans="2:10" x14ac:dyDescent="0.25">
      <c r="B593" s="17">
        <f t="shared" si="9"/>
        <v>45598</v>
      </c>
      <c r="D593" s="18">
        <v>0</v>
      </c>
      <c r="E593" s="18">
        <v>0</v>
      </c>
      <c r="J593" s="17"/>
    </row>
    <row r="594" spans="2:10" x14ac:dyDescent="0.25">
      <c r="B594" s="17">
        <f t="shared" si="9"/>
        <v>45599</v>
      </c>
      <c r="D594" s="18">
        <v>0</v>
      </c>
      <c r="E594" s="18">
        <v>0</v>
      </c>
      <c r="J594" s="17"/>
    </row>
    <row r="595" spans="2:10" x14ac:dyDescent="0.25">
      <c r="B595" s="17">
        <f t="shared" si="9"/>
        <v>45600</v>
      </c>
      <c r="D595" s="18">
        <v>0</v>
      </c>
      <c r="E595" s="18">
        <v>0</v>
      </c>
      <c r="J595" s="17"/>
    </row>
    <row r="596" spans="2:10" x14ac:dyDescent="0.25">
      <c r="B596" s="17">
        <f t="shared" si="9"/>
        <v>45601</v>
      </c>
      <c r="D596" s="18">
        <v>0</v>
      </c>
      <c r="E596" s="18">
        <v>0</v>
      </c>
      <c r="J596" s="17"/>
    </row>
    <row r="597" spans="2:10" x14ac:dyDescent="0.25">
      <c r="B597" s="17">
        <f t="shared" si="9"/>
        <v>45602</v>
      </c>
      <c r="D597" s="18">
        <v>0</v>
      </c>
      <c r="E597" s="18">
        <v>0</v>
      </c>
      <c r="J597" s="17"/>
    </row>
    <row r="598" spans="2:10" x14ac:dyDescent="0.25">
      <c r="B598" s="17">
        <f t="shared" si="9"/>
        <v>45603</v>
      </c>
      <c r="D598" s="18">
        <v>0</v>
      </c>
      <c r="E598" s="18">
        <v>0</v>
      </c>
      <c r="J598" s="17"/>
    </row>
    <row r="599" spans="2:10" x14ac:dyDescent="0.25">
      <c r="B599" s="17">
        <f t="shared" si="9"/>
        <v>45604</v>
      </c>
      <c r="D599" s="18">
        <v>0</v>
      </c>
      <c r="E599" s="18">
        <v>0</v>
      </c>
      <c r="J599" s="17"/>
    </row>
    <row r="600" spans="2:10" x14ac:dyDescent="0.25">
      <c r="B600" s="17">
        <f t="shared" si="9"/>
        <v>45605</v>
      </c>
      <c r="D600" s="18">
        <v>0</v>
      </c>
      <c r="E600" s="18">
        <v>0</v>
      </c>
      <c r="J600" s="17"/>
    </row>
    <row r="601" spans="2:10" x14ac:dyDescent="0.25">
      <c r="B601" s="17">
        <f t="shared" si="9"/>
        <v>45606</v>
      </c>
      <c r="D601" s="18">
        <v>0</v>
      </c>
      <c r="E601" s="18">
        <v>0</v>
      </c>
      <c r="J601" s="17"/>
    </row>
    <row r="602" spans="2:10" x14ac:dyDescent="0.25">
      <c r="B602" s="17">
        <f t="shared" si="9"/>
        <v>45607</v>
      </c>
      <c r="D602" s="18">
        <v>0</v>
      </c>
      <c r="E602" s="18">
        <v>0</v>
      </c>
      <c r="J602" s="17"/>
    </row>
    <row r="603" spans="2:10" x14ac:dyDescent="0.25">
      <c r="B603" s="17">
        <f t="shared" si="9"/>
        <v>45608</v>
      </c>
      <c r="D603" s="18">
        <v>0</v>
      </c>
      <c r="E603" s="18">
        <v>0</v>
      </c>
      <c r="J603" s="17"/>
    </row>
    <row r="604" spans="2:10" x14ac:dyDescent="0.25">
      <c r="B604" s="17">
        <f t="shared" si="9"/>
        <v>45609</v>
      </c>
      <c r="D604" s="18">
        <v>0</v>
      </c>
      <c r="E604" s="18">
        <v>0</v>
      </c>
      <c r="J604" s="17"/>
    </row>
    <row r="605" spans="2:10" x14ac:dyDescent="0.25">
      <c r="B605" s="17">
        <f t="shared" si="9"/>
        <v>45610</v>
      </c>
      <c r="D605" s="18">
        <v>0</v>
      </c>
      <c r="E605" s="18">
        <v>0</v>
      </c>
      <c r="J605" s="17"/>
    </row>
    <row r="606" spans="2:10" x14ac:dyDescent="0.25">
      <c r="B606" s="17">
        <f t="shared" si="9"/>
        <v>45611</v>
      </c>
      <c r="D606" s="18">
        <v>0</v>
      </c>
      <c r="E606" s="18">
        <v>0</v>
      </c>
      <c r="J606" s="17"/>
    </row>
    <row r="607" spans="2:10" x14ac:dyDescent="0.25">
      <c r="B607" s="17">
        <f t="shared" si="9"/>
        <v>45612</v>
      </c>
      <c r="D607" s="18">
        <v>0</v>
      </c>
      <c r="E607" s="18">
        <v>0</v>
      </c>
      <c r="J607" s="17"/>
    </row>
    <row r="608" spans="2:10" x14ac:dyDescent="0.25">
      <c r="B608" s="17">
        <f t="shared" si="9"/>
        <v>45613</v>
      </c>
      <c r="D608" s="18">
        <v>0</v>
      </c>
      <c r="E608" s="18">
        <v>0</v>
      </c>
      <c r="J608" s="17"/>
    </row>
    <row r="609" spans="2:10" x14ac:dyDescent="0.25">
      <c r="B609" s="17">
        <f t="shared" si="9"/>
        <v>45614</v>
      </c>
      <c r="D609" s="18">
        <v>0</v>
      </c>
      <c r="E609" s="18">
        <v>0</v>
      </c>
      <c r="J609" s="17"/>
    </row>
    <row r="610" spans="2:10" x14ac:dyDescent="0.25">
      <c r="B610" s="17">
        <f t="shared" si="9"/>
        <v>45615</v>
      </c>
      <c r="D610" s="18">
        <v>0</v>
      </c>
      <c r="E610" s="18">
        <v>0</v>
      </c>
      <c r="J610" s="17"/>
    </row>
    <row r="611" spans="2:10" x14ac:dyDescent="0.25">
      <c r="B611" s="17">
        <f t="shared" si="9"/>
        <v>45616</v>
      </c>
      <c r="D611" s="18">
        <v>0</v>
      </c>
      <c r="E611" s="18">
        <v>0</v>
      </c>
      <c r="J611" s="17"/>
    </row>
    <row r="612" spans="2:10" x14ac:dyDescent="0.25">
      <c r="B612" s="17">
        <f t="shared" si="9"/>
        <v>45617</v>
      </c>
      <c r="D612" s="18">
        <v>0</v>
      </c>
      <c r="E612" s="18">
        <v>0</v>
      </c>
      <c r="J612" s="17"/>
    </row>
    <row r="613" spans="2:10" x14ac:dyDescent="0.25">
      <c r="B613" s="17">
        <f t="shared" si="9"/>
        <v>45618</v>
      </c>
      <c r="D613" s="18">
        <v>0</v>
      </c>
      <c r="E613" s="18">
        <v>0</v>
      </c>
      <c r="J613" s="17"/>
    </row>
    <row r="614" spans="2:10" x14ac:dyDescent="0.25">
      <c r="B614" s="17">
        <f t="shared" si="9"/>
        <v>45619</v>
      </c>
      <c r="D614" s="18">
        <v>0</v>
      </c>
      <c r="E614" s="18">
        <v>0</v>
      </c>
      <c r="J614" s="17"/>
    </row>
    <row r="615" spans="2:10" x14ac:dyDescent="0.25">
      <c r="B615" s="17">
        <f t="shared" si="9"/>
        <v>45620</v>
      </c>
      <c r="D615" s="18">
        <v>0</v>
      </c>
      <c r="E615" s="18">
        <v>0</v>
      </c>
      <c r="J615" s="17"/>
    </row>
    <row r="616" spans="2:10" x14ac:dyDescent="0.25">
      <c r="B616" s="17">
        <f t="shared" si="9"/>
        <v>45621</v>
      </c>
      <c r="D616" s="18">
        <v>0</v>
      </c>
      <c r="E616" s="18">
        <v>0</v>
      </c>
      <c r="J616" s="17"/>
    </row>
    <row r="617" spans="2:10" x14ac:dyDescent="0.25">
      <c r="B617" s="17">
        <f t="shared" si="9"/>
        <v>45622</v>
      </c>
      <c r="D617" s="18">
        <v>0</v>
      </c>
      <c r="E617" s="18">
        <v>0</v>
      </c>
      <c r="J617" s="17"/>
    </row>
    <row r="618" spans="2:10" x14ac:dyDescent="0.25">
      <c r="B618" s="17">
        <f t="shared" si="9"/>
        <v>45623</v>
      </c>
      <c r="D618" s="18">
        <v>0</v>
      </c>
      <c r="E618" s="18">
        <v>0</v>
      </c>
      <c r="J618" s="17"/>
    </row>
    <row r="619" spans="2:10" x14ac:dyDescent="0.25">
      <c r="B619" s="17">
        <f t="shared" si="9"/>
        <v>45624</v>
      </c>
      <c r="D619" s="18">
        <v>0</v>
      </c>
      <c r="E619" s="18">
        <v>0</v>
      </c>
      <c r="J619" s="17"/>
    </row>
    <row r="620" spans="2:10" x14ac:dyDescent="0.25">
      <c r="B620" s="17">
        <f t="shared" si="9"/>
        <v>45625</v>
      </c>
      <c r="D620" s="18">
        <v>0</v>
      </c>
      <c r="E620" s="18">
        <v>0</v>
      </c>
      <c r="J620" s="17"/>
    </row>
    <row r="621" spans="2:10" x14ac:dyDescent="0.25">
      <c r="B621" s="17">
        <f t="shared" si="9"/>
        <v>45626</v>
      </c>
      <c r="D621" s="18">
        <v>0</v>
      </c>
      <c r="E621" s="18">
        <v>0</v>
      </c>
      <c r="J621" s="17"/>
    </row>
    <row r="622" spans="2:10" x14ac:dyDescent="0.25">
      <c r="B622" s="17">
        <f t="shared" si="9"/>
        <v>45627</v>
      </c>
      <c r="D622" s="18">
        <v>0</v>
      </c>
      <c r="E622" s="18">
        <v>0</v>
      </c>
      <c r="J622" s="17"/>
    </row>
    <row r="623" spans="2:10" x14ac:dyDescent="0.25">
      <c r="B623" s="17">
        <f t="shared" si="9"/>
        <v>45628</v>
      </c>
      <c r="D623" s="18">
        <v>0</v>
      </c>
      <c r="E623" s="18">
        <v>0</v>
      </c>
      <c r="J623" s="17"/>
    </row>
    <row r="624" spans="2:10" x14ac:dyDescent="0.25">
      <c r="B624" s="17">
        <f t="shared" si="9"/>
        <v>45629</v>
      </c>
      <c r="D624" s="18">
        <v>0</v>
      </c>
      <c r="E624" s="18">
        <v>0</v>
      </c>
      <c r="J624" s="17"/>
    </row>
    <row r="625" spans="2:10" x14ac:dyDescent="0.25">
      <c r="B625" s="17">
        <f t="shared" si="9"/>
        <v>45630</v>
      </c>
      <c r="D625" s="18">
        <v>0</v>
      </c>
      <c r="E625" s="18">
        <v>0</v>
      </c>
      <c r="J625" s="17"/>
    </row>
    <row r="626" spans="2:10" x14ac:dyDescent="0.25">
      <c r="B626" s="17">
        <f t="shared" si="9"/>
        <v>45631</v>
      </c>
      <c r="D626" s="18">
        <v>0</v>
      </c>
      <c r="E626" s="18">
        <v>0</v>
      </c>
      <c r="J626" s="17"/>
    </row>
    <row r="627" spans="2:10" x14ac:dyDescent="0.25">
      <c r="B627" s="17">
        <f t="shared" si="9"/>
        <v>45632</v>
      </c>
      <c r="D627" s="18">
        <v>0</v>
      </c>
      <c r="E627" s="18">
        <v>0</v>
      </c>
      <c r="J627" s="17"/>
    </row>
    <row r="628" spans="2:10" x14ac:dyDescent="0.25">
      <c r="B628" s="17">
        <f t="shared" si="9"/>
        <v>45633</v>
      </c>
      <c r="D628" s="18">
        <v>0</v>
      </c>
      <c r="E628" s="18">
        <v>0</v>
      </c>
      <c r="J628" s="17"/>
    </row>
    <row r="629" spans="2:10" x14ac:dyDescent="0.25">
      <c r="B629" s="17">
        <f t="shared" si="9"/>
        <v>45634</v>
      </c>
      <c r="D629" s="18">
        <v>0</v>
      </c>
      <c r="E629" s="18">
        <v>0</v>
      </c>
      <c r="J629" s="17"/>
    </row>
    <row r="630" spans="2:10" x14ac:dyDescent="0.25">
      <c r="B630" s="17">
        <f t="shared" si="9"/>
        <v>45635</v>
      </c>
      <c r="D630" s="18">
        <v>0</v>
      </c>
      <c r="E630" s="18">
        <v>0</v>
      </c>
      <c r="J630" s="17"/>
    </row>
    <row r="631" spans="2:10" x14ac:dyDescent="0.25">
      <c r="B631" s="17">
        <f t="shared" si="9"/>
        <v>45636</v>
      </c>
      <c r="D631" s="18">
        <v>0</v>
      </c>
      <c r="E631" s="18">
        <v>0</v>
      </c>
      <c r="J631" s="17"/>
    </row>
    <row r="632" spans="2:10" x14ac:dyDescent="0.25">
      <c r="B632" s="17">
        <f t="shared" si="9"/>
        <v>45637</v>
      </c>
      <c r="D632" s="18">
        <v>0</v>
      </c>
      <c r="E632" s="18">
        <v>0</v>
      </c>
      <c r="J632" s="17"/>
    </row>
    <row r="633" spans="2:10" x14ac:dyDescent="0.25">
      <c r="B633" s="17">
        <f t="shared" si="9"/>
        <v>45638</v>
      </c>
      <c r="D633" s="18">
        <v>0</v>
      </c>
      <c r="E633" s="18">
        <v>0</v>
      </c>
      <c r="J633" s="17"/>
    </row>
    <row r="634" spans="2:10" x14ac:dyDescent="0.25">
      <c r="B634" s="17">
        <f t="shared" si="9"/>
        <v>45639</v>
      </c>
      <c r="D634" s="18">
        <v>0</v>
      </c>
      <c r="E634" s="18">
        <v>0</v>
      </c>
      <c r="J634" s="17"/>
    </row>
    <row r="635" spans="2:10" x14ac:dyDescent="0.25">
      <c r="B635" s="17">
        <f t="shared" si="9"/>
        <v>45640</v>
      </c>
      <c r="D635" s="18">
        <v>0</v>
      </c>
      <c r="E635" s="18">
        <v>0</v>
      </c>
      <c r="J635" s="17"/>
    </row>
    <row r="636" spans="2:10" x14ac:dyDescent="0.25">
      <c r="B636" s="17">
        <f t="shared" si="9"/>
        <v>45641</v>
      </c>
      <c r="D636" s="18">
        <v>0</v>
      </c>
      <c r="E636" s="18">
        <v>0</v>
      </c>
      <c r="J636" s="17"/>
    </row>
    <row r="637" spans="2:10" x14ac:dyDescent="0.25">
      <c r="B637" s="17">
        <f t="shared" si="9"/>
        <v>45642</v>
      </c>
      <c r="D637" s="18">
        <v>0</v>
      </c>
      <c r="E637" s="18">
        <v>0</v>
      </c>
      <c r="J637" s="17"/>
    </row>
    <row r="638" spans="2:10" x14ac:dyDescent="0.25">
      <c r="B638" s="17">
        <f t="shared" si="9"/>
        <v>45643</v>
      </c>
      <c r="D638" s="18">
        <v>0</v>
      </c>
      <c r="E638" s="18">
        <v>0</v>
      </c>
      <c r="J638" s="17"/>
    </row>
    <row r="639" spans="2:10" x14ac:dyDescent="0.25">
      <c r="B639" s="17">
        <f t="shared" si="9"/>
        <v>45644</v>
      </c>
      <c r="D639" s="18">
        <v>0</v>
      </c>
      <c r="E639" s="18">
        <v>0</v>
      </c>
      <c r="J639" s="17"/>
    </row>
    <row r="640" spans="2:10" x14ac:dyDescent="0.25">
      <c r="B640" s="17">
        <f t="shared" si="9"/>
        <v>45645</v>
      </c>
      <c r="D640" s="18">
        <v>0</v>
      </c>
      <c r="E640" s="18">
        <v>0</v>
      </c>
      <c r="J640" s="17"/>
    </row>
    <row r="641" spans="2:10" x14ac:dyDescent="0.25">
      <c r="B641" s="17">
        <f t="shared" si="9"/>
        <v>45646</v>
      </c>
      <c r="D641" s="18">
        <v>0</v>
      </c>
      <c r="E641" s="18">
        <v>0</v>
      </c>
      <c r="J641" s="17"/>
    </row>
    <row r="642" spans="2:10" x14ac:dyDescent="0.25">
      <c r="B642" s="17">
        <f t="shared" si="9"/>
        <v>45647</v>
      </c>
      <c r="D642" s="18">
        <v>0</v>
      </c>
      <c r="E642" s="18">
        <v>0</v>
      </c>
      <c r="J642" s="17"/>
    </row>
    <row r="643" spans="2:10" x14ac:dyDescent="0.25">
      <c r="B643" s="17">
        <f t="shared" si="9"/>
        <v>45648</v>
      </c>
      <c r="D643" s="18">
        <v>0</v>
      </c>
      <c r="E643" s="18">
        <v>0</v>
      </c>
      <c r="J643" s="17"/>
    </row>
    <row r="644" spans="2:10" x14ac:dyDescent="0.25">
      <c r="B644" s="17">
        <f t="shared" si="9"/>
        <v>45649</v>
      </c>
      <c r="D644" s="18">
        <v>0</v>
      </c>
      <c r="E644" s="18">
        <v>0</v>
      </c>
      <c r="J644" s="17"/>
    </row>
    <row r="645" spans="2:10" x14ac:dyDescent="0.25">
      <c r="B645" s="17">
        <f t="shared" si="9"/>
        <v>45650</v>
      </c>
      <c r="D645" s="18">
        <v>0</v>
      </c>
      <c r="E645" s="18">
        <v>0</v>
      </c>
      <c r="J645" s="17"/>
    </row>
    <row r="646" spans="2:10" x14ac:dyDescent="0.25">
      <c r="B646" s="17">
        <f t="shared" si="9"/>
        <v>45651</v>
      </c>
      <c r="D646" s="18">
        <v>0</v>
      </c>
      <c r="E646" s="18">
        <v>0</v>
      </c>
      <c r="J646" s="17"/>
    </row>
    <row r="647" spans="2:10" x14ac:dyDescent="0.25">
      <c r="B647" s="17">
        <f t="shared" si="9"/>
        <v>45652</v>
      </c>
      <c r="D647" s="18">
        <v>0</v>
      </c>
      <c r="E647" s="18">
        <v>0</v>
      </c>
      <c r="J647" s="17"/>
    </row>
    <row r="648" spans="2:10" x14ac:dyDescent="0.25">
      <c r="B648" s="17">
        <f t="shared" si="9"/>
        <v>45653</v>
      </c>
      <c r="D648" s="18">
        <v>0</v>
      </c>
      <c r="E648" s="18">
        <v>0</v>
      </c>
      <c r="J648" s="17"/>
    </row>
    <row r="649" spans="2:10" x14ac:dyDescent="0.25">
      <c r="B649" s="17">
        <f t="shared" si="9"/>
        <v>45654</v>
      </c>
      <c r="D649" s="18">
        <v>0</v>
      </c>
      <c r="E649" s="18">
        <v>0</v>
      </c>
      <c r="J649" s="17"/>
    </row>
    <row r="650" spans="2:10" x14ac:dyDescent="0.25">
      <c r="B650" s="17">
        <f t="shared" si="9"/>
        <v>45655</v>
      </c>
      <c r="D650" s="18">
        <v>0</v>
      </c>
      <c r="E650" s="18">
        <v>0</v>
      </c>
      <c r="J650" s="17"/>
    </row>
    <row r="651" spans="2:10" x14ac:dyDescent="0.25">
      <c r="B651" s="17">
        <f t="shared" si="9"/>
        <v>45656</v>
      </c>
      <c r="D651" s="18">
        <v>0</v>
      </c>
      <c r="E651" s="18">
        <v>0</v>
      </c>
      <c r="J651" s="17"/>
    </row>
    <row r="652" spans="2:10" x14ac:dyDescent="0.25">
      <c r="B652" s="17">
        <f t="shared" si="9"/>
        <v>45657</v>
      </c>
      <c r="D652" s="18">
        <v>0</v>
      </c>
      <c r="E652" s="18">
        <v>0</v>
      </c>
      <c r="J652" s="17"/>
    </row>
    <row r="653" spans="2:10" x14ac:dyDescent="0.25">
      <c r="B653" s="17">
        <f t="shared" si="9"/>
        <v>45658</v>
      </c>
      <c r="D653" s="18">
        <v>0</v>
      </c>
      <c r="E653" s="18">
        <v>0</v>
      </c>
      <c r="J653" s="17"/>
    </row>
    <row r="654" spans="2:10" x14ac:dyDescent="0.25">
      <c r="B654" s="17">
        <f t="shared" ref="B654:B717" si="10">B653+1</f>
        <v>45659</v>
      </c>
      <c r="D654" s="18">
        <v>0</v>
      </c>
      <c r="E654" s="18">
        <v>0</v>
      </c>
      <c r="J654" s="17"/>
    </row>
    <row r="655" spans="2:10" x14ac:dyDescent="0.25">
      <c r="B655" s="17">
        <f t="shared" si="10"/>
        <v>45660</v>
      </c>
      <c r="D655" s="18">
        <v>0</v>
      </c>
      <c r="E655" s="18">
        <v>0</v>
      </c>
      <c r="J655" s="17"/>
    </row>
    <row r="656" spans="2:10" x14ac:dyDescent="0.25">
      <c r="B656" s="17">
        <f t="shared" si="10"/>
        <v>45661</v>
      </c>
      <c r="D656" s="18">
        <v>0</v>
      </c>
      <c r="E656" s="18">
        <v>0</v>
      </c>
      <c r="J656" s="17"/>
    </row>
    <row r="657" spans="2:10" x14ac:dyDescent="0.25">
      <c r="B657" s="17">
        <f t="shared" si="10"/>
        <v>45662</v>
      </c>
      <c r="D657" s="18">
        <v>0</v>
      </c>
      <c r="E657" s="18">
        <v>0</v>
      </c>
      <c r="J657" s="17"/>
    </row>
    <row r="658" spans="2:10" x14ac:dyDescent="0.25">
      <c r="B658" s="17">
        <f t="shared" si="10"/>
        <v>45663</v>
      </c>
      <c r="D658" s="18">
        <v>0</v>
      </c>
      <c r="E658" s="18">
        <v>0</v>
      </c>
      <c r="J658" s="17"/>
    </row>
    <row r="659" spans="2:10" x14ac:dyDescent="0.25">
      <c r="B659" s="17">
        <f t="shared" si="10"/>
        <v>45664</v>
      </c>
      <c r="D659" s="18">
        <v>0</v>
      </c>
      <c r="E659" s="18">
        <v>0</v>
      </c>
      <c r="J659" s="17"/>
    </row>
    <row r="660" spans="2:10" x14ac:dyDescent="0.25">
      <c r="B660" s="17">
        <f t="shared" si="10"/>
        <v>45665</v>
      </c>
      <c r="D660" s="18">
        <v>0</v>
      </c>
      <c r="E660" s="18">
        <v>0</v>
      </c>
      <c r="J660" s="17"/>
    </row>
    <row r="661" spans="2:10" x14ac:dyDescent="0.25">
      <c r="B661" s="17">
        <f t="shared" si="10"/>
        <v>45666</v>
      </c>
      <c r="D661" s="18">
        <v>0</v>
      </c>
      <c r="E661" s="18">
        <v>0</v>
      </c>
      <c r="J661" s="17"/>
    </row>
    <row r="662" spans="2:10" x14ac:dyDescent="0.25">
      <c r="B662" s="17">
        <f t="shared" si="10"/>
        <v>45667</v>
      </c>
      <c r="D662" s="18">
        <v>0</v>
      </c>
      <c r="E662" s="18">
        <v>0</v>
      </c>
      <c r="J662" s="17"/>
    </row>
    <row r="663" spans="2:10" x14ac:dyDescent="0.25">
      <c r="B663" s="17">
        <f t="shared" si="10"/>
        <v>45668</v>
      </c>
      <c r="D663" s="18">
        <v>0</v>
      </c>
      <c r="E663" s="18">
        <v>0</v>
      </c>
      <c r="J663" s="17"/>
    </row>
    <row r="664" spans="2:10" x14ac:dyDescent="0.25">
      <c r="B664" s="17">
        <f t="shared" si="10"/>
        <v>45669</v>
      </c>
      <c r="D664" s="18">
        <v>0</v>
      </c>
      <c r="E664" s="18">
        <v>0</v>
      </c>
      <c r="J664" s="17"/>
    </row>
    <row r="665" spans="2:10" x14ac:dyDescent="0.25">
      <c r="B665" s="17">
        <f t="shared" si="10"/>
        <v>45670</v>
      </c>
      <c r="D665" s="18">
        <v>0</v>
      </c>
      <c r="E665" s="18">
        <v>0</v>
      </c>
      <c r="J665" s="17"/>
    </row>
    <row r="666" spans="2:10" x14ac:dyDescent="0.25">
      <c r="B666" s="17">
        <f t="shared" si="10"/>
        <v>45671</v>
      </c>
      <c r="D666" s="18">
        <v>0</v>
      </c>
      <c r="E666" s="18">
        <v>0</v>
      </c>
      <c r="J666" s="17"/>
    </row>
    <row r="667" spans="2:10" x14ac:dyDescent="0.25">
      <c r="B667" s="17">
        <f t="shared" si="10"/>
        <v>45672</v>
      </c>
      <c r="D667" s="18">
        <v>0</v>
      </c>
      <c r="E667" s="18">
        <v>0</v>
      </c>
      <c r="J667" s="17"/>
    </row>
    <row r="668" spans="2:10" x14ac:dyDescent="0.25">
      <c r="B668" s="17">
        <f t="shared" si="10"/>
        <v>45673</v>
      </c>
      <c r="D668" s="18">
        <v>0</v>
      </c>
      <c r="E668" s="18">
        <v>0</v>
      </c>
      <c r="J668" s="17"/>
    </row>
    <row r="669" spans="2:10" x14ac:dyDescent="0.25">
      <c r="B669" s="17">
        <f t="shared" si="10"/>
        <v>45674</v>
      </c>
      <c r="D669" s="18">
        <v>0</v>
      </c>
      <c r="E669" s="18">
        <v>0</v>
      </c>
      <c r="J669" s="17"/>
    </row>
    <row r="670" spans="2:10" x14ac:dyDescent="0.25">
      <c r="B670" s="17">
        <f t="shared" si="10"/>
        <v>45675</v>
      </c>
      <c r="D670" s="18">
        <v>0</v>
      </c>
      <c r="E670" s="18">
        <v>0</v>
      </c>
      <c r="J670" s="17"/>
    </row>
    <row r="671" spans="2:10" x14ac:dyDescent="0.25">
      <c r="B671" s="17">
        <f t="shared" si="10"/>
        <v>45676</v>
      </c>
      <c r="D671" s="18">
        <v>0</v>
      </c>
      <c r="E671" s="18">
        <v>0</v>
      </c>
      <c r="J671" s="17"/>
    </row>
    <row r="672" spans="2:10" x14ac:dyDescent="0.25">
      <c r="B672" s="17">
        <f t="shared" si="10"/>
        <v>45677</v>
      </c>
      <c r="D672" s="18">
        <v>0</v>
      </c>
      <c r="E672" s="18">
        <v>0</v>
      </c>
      <c r="J672" s="17"/>
    </row>
    <row r="673" spans="2:10" x14ac:dyDescent="0.25">
      <c r="B673" s="17">
        <f t="shared" si="10"/>
        <v>45678</v>
      </c>
      <c r="D673" s="18">
        <v>0</v>
      </c>
      <c r="E673" s="18">
        <v>0</v>
      </c>
      <c r="J673" s="17"/>
    </row>
    <row r="674" spans="2:10" x14ac:dyDescent="0.25">
      <c r="B674" s="17">
        <f t="shared" si="10"/>
        <v>45679</v>
      </c>
      <c r="D674" s="18">
        <v>0</v>
      </c>
      <c r="E674" s="18">
        <v>0</v>
      </c>
      <c r="J674" s="17"/>
    </row>
    <row r="675" spans="2:10" x14ac:dyDescent="0.25">
      <c r="B675" s="17">
        <f t="shared" si="10"/>
        <v>45680</v>
      </c>
      <c r="D675" s="18">
        <v>0</v>
      </c>
      <c r="E675" s="18">
        <v>0</v>
      </c>
      <c r="J675" s="17"/>
    </row>
    <row r="676" spans="2:10" x14ac:dyDescent="0.25">
      <c r="B676" s="17">
        <f t="shared" si="10"/>
        <v>45681</v>
      </c>
      <c r="D676" s="18">
        <v>0</v>
      </c>
      <c r="E676" s="18">
        <v>0</v>
      </c>
      <c r="J676" s="17"/>
    </row>
    <row r="677" spans="2:10" x14ac:dyDescent="0.25">
      <c r="B677" s="17">
        <f t="shared" si="10"/>
        <v>45682</v>
      </c>
      <c r="D677" s="18">
        <v>0</v>
      </c>
      <c r="E677" s="18">
        <v>0</v>
      </c>
      <c r="J677" s="17"/>
    </row>
    <row r="678" spans="2:10" x14ac:dyDescent="0.25">
      <c r="B678" s="17">
        <f t="shared" si="10"/>
        <v>45683</v>
      </c>
      <c r="D678" s="18">
        <v>0</v>
      </c>
      <c r="E678" s="18">
        <v>0</v>
      </c>
      <c r="J678" s="17"/>
    </row>
    <row r="679" spans="2:10" x14ac:dyDescent="0.25">
      <c r="B679" s="17">
        <f t="shared" si="10"/>
        <v>45684</v>
      </c>
      <c r="D679" s="18">
        <v>0</v>
      </c>
      <c r="E679" s="18">
        <v>0</v>
      </c>
      <c r="J679" s="17"/>
    </row>
    <row r="680" spans="2:10" x14ac:dyDescent="0.25">
      <c r="B680" s="17">
        <f t="shared" si="10"/>
        <v>45685</v>
      </c>
      <c r="D680" s="18">
        <v>0</v>
      </c>
      <c r="E680" s="18">
        <v>0</v>
      </c>
      <c r="J680" s="17"/>
    </row>
    <row r="681" spans="2:10" x14ac:dyDescent="0.25">
      <c r="B681" s="17">
        <f t="shared" si="10"/>
        <v>45686</v>
      </c>
      <c r="D681" s="18">
        <v>0</v>
      </c>
      <c r="E681" s="18">
        <v>0</v>
      </c>
      <c r="J681" s="17"/>
    </row>
    <row r="682" spans="2:10" x14ac:dyDescent="0.25">
      <c r="B682" s="17">
        <f t="shared" si="10"/>
        <v>45687</v>
      </c>
      <c r="D682" s="18">
        <v>0</v>
      </c>
      <c r="E682" s="18">
        <v>0</v>
      </c>
      <c r="J682" s="17"/>
    </row>
    <row r="683" spans="2:10" x14ac:dyDescent="0.25">
      <c r="B683" s="17">
        <f t="shared" si="10"/>
        <v>45688</v>
      </c>
      <c r="D683" s="18">
        <v>0</v>
      </c>
      <c r="E683" s="18">
        <v>0</v>
      </c>
      <c r="J683" s="17"/>
    </row>
    <row r="684" spans="2:10" x14ac:dyDescent="0.25">
      <c r="B684" s="17">
        <f t="shared" si="10"/>
        <v>45689</v>
      </c>
      <c r="D684" s="18">
        <v>0</v>
      </c>
      <c r="E684" s="18">
        <v>0</v>
      </c>
      <c r="J684" s="17"/>
    </row>
    <row r="685" spans="2:10" x14ac:dyDescent="0.25">
      <c r="B685" s="17">
        <f t="shared" si="10"/>
        <v>45690</v>
      </c>
      <c r="D685" s="18">
        <v>0</v>
      </c>
      <c r="E685" s="18">
        <v>0</v>
      </c>
      <c r="J685" s="17"/>
    </row>
    <row r="686" spans="2:10" x14ac:dyDescent="0.25">
      <c r="B686" s="17">
        <f t="shared" si="10"/>
        <v>45691</v>
      </c>
      <c r="D686" s="18">
        <v>0</v>
      </c>
      <c r="E686" s="18">
        <v>0</v>
      </c>
      <c r="J686" s="17"/>
    </row>
    <row r="687" spans="2:10" x14ac:dyDescent="0.25">
      <c r="B687" s="17">
        <f t="shared" si="10"/>
        <v>45692</v>
      </c>
      <c r="D687" s="18">
        <v>0</v>
      </c>
      <c r="E687" s="18">
        <v>0</v>
      </c>
      <c r="J687" s="17"/>
    </row>
    <row r="688" spans="2:10" x14ac:dyDescent="0.25">
      <c r="B688" s="17">
        <f t="shared" si="10"/>
        <v>45693</v>
      </c>
      <c r="D688" s="18">
        <v>0</v>
      </c>
      <c r="E688" s="18">
        <v>0</v>
      </c>
      <c r="J688" s="17"/>
    </row>
    <row r="689" spans="2:10" x14ac:dyDescent="0.25">
      <c r="B689" s="17">
        <f t="shared" si="10"/>
        <v>45694</v>
      </c>
      <c r="D689" s="18">
        <v>0</v>
      </c>
      <c r="E689" s="18">
        <v>0</v>
      </c>
      <c r="J689" s="17"/>
    </row>
    <row r="690" spans="2:10" x14ac:dyDescent="0.25">
      <c r="B690" s="17">
        <f t="shared" si="10"/>
        <v>45695</v>
      </c>
      <c r="D690" s="18">
        <v>0</v>
      </c>
      <c r="E690" s="18">
        <v>0</v>
      </c>
      <c r="J690" s="17"/>
    </row>
    <row r="691" spans="2:10" x14ac:dyDescent="0.25">
      <c r="B691" s="17">
        <f t="shared" si="10"/>
        <v>45696</v>
      </c>
      <c r="D691" s="18">
        <v>0</v>
      </c>
      <c r="E691" s="18">
        <v>0</v>
      </c>
      <c r="J691" s="17"/>
    </row>
    <row r="692" spans="2:10" x14ac:dyDescent="0.25">
      <c r="B692" s="17">
        <f t="shared" si="10"/>
        <v>45697</v>
      </c>
      <c r="D692" s="18">
        <v>0</v>
      </c>
      <c r="E692" s="18">
        <v>0</v>
      </c>
      <c r="J692" s="17"/>
    </row>
    <row r="693" spans="2:10" x14ac:dyDescent="0.25">
      <c r="B693" s="17">
        <f t="shared" si="10"/>
        <v>45698</v>
      </c>
      <c r="D693" s="18">
        <v>0</v>
      </c>
      <c r="E693" s="18">
        <v>0</v>
      </c>
      <c r="J693" s="17"/>
    </row>
    <row r="694" spans="2:10" x14ac:dyDescent="0.25">
      <c r="B694" s="17">
        <f t="shared" si="10"/>
        <v>45699</v>
      </c>
      <c r="D694" s="18">
        <v>0</v>
      </c>
      <c r="E694" s="18">
        <v>0</v>
      </c>
      <c r="J694" s="17"/>
    </row>
    <row r="695" spans="2:10" x14ac:dyDescent="0.25">
      <c r="B695" s="17">
        <f t="shared" si="10"/>
        <v>45700</v>
      </c>
      <c r="D695" s="18">
        <v>0</v>
      </c>
      <c r="E695" s="18">
        <v>0</v>
      </c>
      <c r="J695" s="17"/>
    </row>
    <row r="696" spans="2:10" x14ac:dyDescent="0.25">
      <c r="B696" s="17">
        <f t="shared" si="10"/>
        <v>45701</v>
      </c>
      <c r="D696" s="18">
        <v>0</v>
      </c>
      <c r="E696" s="18">
        <v>0</v>
      </c>
      <c r="J696" s="17"/>
    </row>
    <row r="697" spans="2:10" x14ac:dyDescent="0.25">
      <c r="B697" s="17">
        <f t="shared" si="10"/>
        <v>45702</v>
      </c>
      <c r="D697" s="18">
        <v>0</v>
      </c>
      <c r="E697" s="18">
        <v>0</v>
      </c>
      <c r="J697" s="17"/>
    </row>
    <row r="698" spans="2:10" x14ac:dyDescent="0.25">
      <c r="B698" s="17">
        <f t="shared" si="10"/>
        <v>45703</v>
      </c>
      <c r="D698" s="18">
        <v>0</v>
      </c>
      <c r="E698" s="18">
        <v>0</v>
      </c>
      <c r="J698" s="17"/>
    </row>
    <row r="699" spans="2:10" x14ac:dyDescent="0.25">
      <c r="B699" s="17">
        <f t="shared" si="10"/>
        <v>45704</v>
      </c>
      <c r="D699" s="18">
        <v>0</v>
      </c>
      <c r="E699" s="18">
        <v>0</v>
      </c>
      <c r="J699" s="17"/>
    </row>
    <row r="700" spans="2:10" x14ac:dyDescent="0.25">
      <c r="B700" s="17">
        <f t="shared" si="10"/>
        <v>45705</v>
      </c>
      <c r="D700" s="18">
        <v>0</v>
      </c>
      <c r="E700" s="18">
        <v>0</v>
      </c>
      <c r="J700" s="17"/>
    </row>
    <row r="701" spans="2:10" x14ac:dyDescent="0.25">
      <c r="B701" s="17">
        <f t="shared" si="10"/>
        <v>45706</v>
      </c>
      <c r="D701" s="18">
        <v>0</v>
      </c>
      <c r="E701" s="18">
        <v>0</v>
      </c>
      <c r="J701" s="17"/>
    </row>
    <row r="702" spans="2:10" x14ac:dyDescent="0.25">
      <c r="B702" s="17">
        <f t="shared" si="10"/>
        <v>45707</v>
      </c>
      <c r="D702" s="18">
        <v>0</v>
      </c>
      <c r="E702" s="18">
        <v>0</v>
      </c>
      <c r="J702" s="17"/>
    </row>
    <row r="703" spans="2:10" x14ac:dyDescent="0.25">
      <c r="B703" s="17">
        <f t="shared" si="10"/>
        <v>45708</v>
      </c>
      <c r="D703" s="18">
        <v>0</v>
      </c>
      <c r="E703" s="18">
        <v>0</v>
      </c>
      <c r="J703" s="17"/>
    </row>
    <row r="704" spans="2:10" x14ac:dyDescent="0.25">
      <c r="B704" s="17">
        <f t="shared" si="10"/>
        <v>45709</v>
      </c>
      <c r="D704" s="18">
        <v>0</v>
      </c>
      <c r="E704" s="18">
        <v>0</v>
      </c>
      <c r="J704" s="17"/>
    </row>
    <row r="705" spans="2:10" x14ac:dyDescent="0.25">
      <c r="B705" s="17">
        <f t="shared" si="10"/>
        <v>45710</v>
      </c>
      <c r="D705" s="18">
        <v>0</v>
      </c>
      <c r="E705" s="18">
        <v>0</v>
      </c>
      <c r="J705" s="17"/>
    </row>
    <row r="706" spans="2:10" x14ac:dyDescent="0.25">
      <c r="B706" s="17">
        <f t="shared" si="10"/>
        <v>45711</v>
      </c>
      <c r="D706" s="18">
        <v>0</v>
      </c>
      <c r="E706" s="18">
        <v>0</v>
      </c>
      <c r="J706" s="17"/>
    </row>
    <row r="707" spans="2:10" x14ac:dyDescent="0.25">
      <c r="B707" s="17">
        <f t="shared" si="10"/>
        <v>45712</v>
      </c>
      <c r="D707" s="18">
        <v>0</v>
      </c>
      <c r="E707" s="18">
        <v>0</v>
      </c>
      <c r="J707" s="17"/>
    </row>
    <row r="708" spans="2:10" x14ac:dyDescent="0.25">
      <c r="B708" s="17">
        <f t="shared" si="10"/>
        <v>45713</v>
      </c>
      <c r="D708" s="18">
        <v>0</v>
      </c>
      <c r="E708" s="18">
        <v>0</v>
      </c>
      <c r="J708" s="17"/>
    </row>
    <row r="709" spans="2:10" x14ac:dyDescent="0.25">
      <c r="B709" s="17">
        <f t="shared" si="10"/>
        <v>45714</v>
      </c>
      <c r="D709" s="18">
        <v>0</v>
      </c>
      <c r="E709" s="18">
        <v>0</v>
      </c>
      <c r="J709" s="17"/>
    </row>
    <row r="710" spans="2:10" x14ac:dyDescent="0.25">
      <c r="B710" s="17">
        <f t="shared" si="10"/>
        <v>45715</v>
      </c>
      <c r="D710" s="18">
        <v>0</v>
      </c>
      <c r="E710" s="18">
        <v>0</v>
      </c>
      <c r="J710" s="17"/>
    </row>
    <row r="711" spans="2:10" x14ac:dyDescent="0.25">
      <c r="B711" s="17">
        <f t="shared" si="10"/>
        <v>45716</v>
      </c>
      <c r="D711" s="18">
        <v>0</v>
      </c>
      <c r="E711" s="18">
        <v>0</v>
      </c>
      <c r="J711" s="17"/>
    </row>
    <row r="712" spans="2:10" x14ac:dyDescent="0.25">
      <c r="B712" s="17">
        <f t="shared" si="10"/>
        <v>45717</v>
      </c>
      <c r="D712" s="18">
        <v>0</v>
      </c>
      <c r="E712" s="18">
        <v>0</v>
      </c>
      <c r="J712" s="17"/>
    </row>
    <row r="713" spans="2:10" x14ac:dyDescent="0.25">
      <c r="B713" s="17">
        <f t="shared" si="10"/>
        <v>45718</v>
      </c>
      <c r="D713" s="18">
        <v>0</v>
      </c>
      <c r="E713" s="18">
        <v>0</v>
      </c>
      <c r="J713" s="17"/>
    </row>
    <row r="714" spans="2:10" x14ac:dyDescent="0.25">
      <c r="B714" s="17">
        <f t="shared" si="10"/>
        <v>45719</v>
      </c>
      <c r="D714" s="18">
        <v>0</v>
      </c>
      <c r="E714" s="18">
        <v>0</v>
      </c>
      <c r="J714" s="17"/>
    </row>
    <row r="715" spans="2:10" x14ac:dyDescent="0.25">
      <c r="B715" s="17">
        <f t="shared" si="10"/>
        <v>45720</v>
      </c>
      <c r="D715" s="18">
        <v>0</v>
      </c>
      <c r="E715" s="18">
        <v>0</v>
      </c>
      <c r="J715" s="17"/>
    </row>
    <row r="716" spans="2:10" x14ac:dyDescent="0.25">
      <c r="B716" s="17">
        <f t="shared" si="10"/>
        <v>45721</v>
      </c>
      <c r="D716" s="18">
        <v>0</v>
      </c>
      <c r="E716" s="18">
        <v>0</v>
      </c>
      <c r="J716" s="17"/>
    </row>
    <row r="717" spans="2:10" x14ac:dyDescent="0.25">
      <c r="B717" s="17">
        <f t="shared" si="10"/>
        <v>45722</v>
      </c>
      <c r="D717" s="18">
        <v>0</v>
      </c>
      <c r="E717" s="18">
        <v>0</v>
      </c>
      <c r="J717" s="17"/>
    </row>
    <row r="718" spans="2:10" x14ac:dyDescent="0.25">
      <c r="B718" s="17">
        <f t="shared" ref="B718:B781" si="11">B717+1</f>
        <v>45723</v>
      </c>
      <c r="D718" s="18">
        <v>0</v>
      </c>
      <c r="E718" s="18">
        <v>0</v>
      </c>
      <c r="J718" s="17"/>
    </row>
    <row r="719" spans="2:10" x14ac:dyDescent="0.25">
      <c r="B719" s="17">
        <f t="shared" si="11"/>
        <v>45724</v>
      </c>
      <c r="D719" s="18">
        <v>0</v>
      </c>
      <c r="E719" s="18">
        <v>0</v>
      </c>
      <c r="J719" s="17"/>
    </row>
    <row r="720" spans="2:10" x14ac:dyDescent="0.25">
      <c r="B720" s="17">
        <f t="shared" si="11"/>
        <v>45725</v>
      </c>
      <c r="D720" s="18">
        <v>0</v>
      </c>
      <c r="E720" s="18">
        <v>0</v>
      </c>
      <c r="J720" s="17"/>
    </row>
    <row r="721" spans="2:10" x14ac:dyDescent="0.25">
      <c r="B721" s="17">
        <f t="shared" si="11"/>
        <v>45726</v>
      </c>
      <c r="D721" s="18">
        <v>0</v>
      </c>
      <c r="E721" s="18">
        <v>0</v>
      </c>
      <c r="J721" s="17"/>
    </row>
    <row r="722" spans="2:10" x14ac:dyDescent="0.25">
      <c r="B722" s="17">
        <f t="shared" si="11"/>
        <v>45727</v>
      </c>
      <c r="D722" s="18">
        <v>0</v>
      </c>
      <c r="E722" s="18">
        <v>0</v>
      </c>
      <c r="J722" s="17"/>
    </row>
    <row r="723" spans="2:10" x14ac:dyDescent="0.25">
      <c r="B723" s="17">
        <f t="shared" si="11"/>
        <v>45728</v>
      </c>
      <c r="D723" s="18">
        <v>0</v>
      </c>
      <c r="E723" s="18">
        <v>0</v>
      </c>
      <c r="J723" s="17"/>
    </row>
    <row r="724" spans="2:10" x14ac:dyDescent="0.25">
      <c r="B724" s="17">
        <f t="shared" si="11"/>
        <v>45729</v>
      </c>
      <c r="D724" s="18">
        <v>0</v>
      </c>
      <c r="E724" s="18">
        <v>0</v>
      </c>
      <c r="J724" s="17"/>
    </row>
    <row r="725" spans="2:10" x14ac:dyDescent="0.25">
      <c r="B725" s="17">
        <f t="shared" si="11"/>
        <v>45730</v>
      </c>
      <c r="D725" s="18">
        <v>0</v>
      </c>
      <c r="E725" s="18">
        <v>0</v>
      </c>
      <c r="J725" s="17"/>
    </row>
    <row r="726" spans="2:10" x14ac:dyDescent="0.25">
      <c r="B726" s="17">
        <f t="shared" si="11"/>
        <v>45731</v>
      </c>
      <c r="D726" s="18">
        <v>0</v>
      </c>
      <c r="E726" s="18">
        <v>0</v>
      </c>
      <c r="J726" s="17"/>
    </row>
    <row r="727" spans="2:10" x14ac:dyDescent="0.25">
      <c r="B727" s="17">
        <f t="shared" si="11"/>
        <v>45732</v>
      </c>
      <c r="D727" s="18">
        <v>0</v>
      </c>
      <c r="E727" s="18">
        <v>0</v>
      </c>
      <c r="J727" s="17"/>
    </row>
    <row r="728" spans="2:10" x14ac:dyDescent="0.25">
      <c r="B728" s="17">
        <f t="shared" si="11"/>
        <v>45733</v>
      </c>
      <c r="D728" s="18">
        <v>0</v>
      </c>
      <c r="E728" s="18">
        <v>0</v>
      </c>
      <c r="J728" s="17"/>
    </row>
    <row r="729" spans="2:10" x14ac:dyDescent="0.25">
      <c r="B729" s="17">
        <f t="shared" si="11"/>
        <v>45734</v>
      </c>
      <c r="D729" s="18">
        <v>0</v>
      </c>
      <c r="E729" s="18">
        <v>0</v>
      </c>
      <c r="J729" s="17"/>
    </row>
    <row r="730" spans="2:10" x14ac:dyDescent="0.25">
      <c r="B730" s="17">
        <f t="shared" si="11"/>
        <v>45735</v>
      </c>
      <c r="D730" s="18">
        <v>0</v>
      </c>
      <c r="E730" s="18">
        <v>0</v>
      </c>
      <c r="J730" s="17"/>
    </row>
    <row r="731" spans="2:10" x14ac:dyDescent="0.25">
      <c r="B731" s="17">
        <f t="shared" si="11"/>
        <v>45736</v>
      </c>
      <c r="D731" s="18">
        <v>0</v>
      </c>
      <c r="E731" s="18">
        <v>0</v>
      </c>
      <c r="J731" s="17"/>
    </row>
    <row r="732" spans="2:10" x14ac:dyDescent="0.25">
      <c r="B732" s="17">
        <f t="shared" si="11"/>
        <v>45737</v>
      </c>
      <c r="D732" s="18">
        <v>0</v>
      </c>
      <c r="E732" s="18">
        <v>0</v>
      </c>
      <c r="J732" s="17"/>
    </row>
    <row r="733" spans="2:10" x14ac:dyDescent="0.25">
      <c r="B733" s="17">
        <f t="shared" si="11"/>
        <v>45738</v>
      </c>
      <c r="D733" s="18">
        <v>0</v>
      </c>
      <c r="E733" s="18">
        <v>0</v>
      </c>
      <c r="J733" s="17"/>
    </row>
    <row r="734" spans="2:10" x14ac:dyDescent="0.25">
      <c r="B734" s="17">
        <f t="shared" si="11"/>
        <v>45739</v>
      </c>
      <c r="D734" s="18">
        <v>0</v>
      </c>
      <c r="E734" s="18">
        <v>0</v>
      </c>
      <c r="J734" s="17"/>
    </row>
    <row r="735" spans="2:10" x14ac:dyDescent="0.25">
      <c r="B735" s="17">
        <f t="shared" si="11"/>
        <v>45740</v>
      </c>
      <c r="D735" s="18">
        <v>0</v>
      </c>
      <c r="E735" s="18">
        <v>0</v>
      </c>
      <c r="J735" s="17"/>
    </row>
    <row r="736" spans="2:10" x14ac:dyDescent="0.25">
      <c r="B736" s="17">
        <f t="shared" si="11"/>
        <v>45741</v>
      </c>
      <c r="D736" s="18">
        <v>0</v>
      </c>
      <c r="E736" s="18">
        <v>0</v>
      </c>
      <c r="J736" s="17"/>
    </row>
    <row r="737" spans="2:10" x14ac:dyDescent="0.25">
      <c r="B737" s="17">
        <f t="shared" si="11"/>
        <v>45742</v>
      </c>
      <c r="D737" s="18">
        <v>0</v>
      </c>
      <c r="E737" s="18">
        <v>0</v>
      </c>
      <c r="J737" s="17"/>
    </row>
    <row r="738" spans="2:10" x14ac:dyDescent="0.25">
      <c r="B738" s="17">
        <f t="shared" si="11"/>
        <v>45743</v>
      </c>
      <c r="D738" s="18">
        <v>0</v>
      </c>
      <c r="E738" s="18">
        <v>0</v>
      </c>
      <c r="J738" s="17"/>
    </row>
    <row r="739" spans="2:10" x14ac:dyDescent="0.25">
      <c r="B739" s="17">
        <f t="shared" si="11"/>
        <v>45744</v>
      </c>
      <c r="D739" s="18">
        <v>0</v>
      </c>
      <c r="E739" s="18">
        <v>0</v>
      </c>
      <c r="J739" s="17"/>
    </row>
    <row r="740" spans="2:10" x14ac:dyDescent="0.25">
      <c r="B740" s="17">
        <f t="shared" si="11"/>
        <v>45745</v>
      </c>
      <c r="D740" s="18">
        <v>0</v>
      </c>
      <c r="E740" s="18">
        <v>0</v>
      </c>
      <c r="J740" s="17"/>
    </row>
    <row r="741" spans="2:10" x14ac:dyDescent="0.25">
      <c r="B741" s="17">
        <f t="shared" si="11"/>
        <v>45746</v>
      </c>
      <c r="D741" s="18">
        <v>0</v>
      </c>
      <c r="E741" s="18">
        <v>0</v>
      </c>
      <c r="J741" s="17"/>
    </row>
    <row r="742" spans="2:10" x14ac:dyDescent="0.25">
      <c r="B742" s="17">
        <f t="shared" si="11"/>
        <v>45747</v>
      </c>
      <c r="D742" s="18">
        <v>0</v>
      </c>
      <c r="E742" s="18">
        <v>0</v>
      </c>
      <c r="J742" s="17"/>
    </row>
    <row r="743" spans="2:10" x14ac:dyDescent="0.25">
      <c r="B743" s="17">
        <f t="shared" si="11"/>
        <v>45748</v>
      </c>
      <c r="D743" s="18">
        <v>0</v>
      </c>
      <c r="E743" s="18">
        <v>0</v>
      </c>
      <c r="J743" s="17"/>
    </row>
    <row r="744" spans="2:10" x14ac:dyDescent="0.25">
      <c r="B744" s="17">
        <f t="shared" si="11"/>
        <v>45749</v>
      </c>
      <c r="D744" s="18">
        <v>0</v>
      </c>
      <c r="E744" s="18">
        <v>0</v>
      </c>
      <c r="J744" s="17"/>
    </row>
    <row r="745" spans="2:10" x14ac:dyDescent="0.25">
      <c r="B745" s="17">
        <f t="shared" si="11"/>
        <v>45750</v>
      </c>
      <c r="D745" s="18">
        <v>0</v>
      </c>
      <c r="E745" s="18">
        <v>0</v>
      </c>
      <c r="J745" s="17"/>
    </row>
    <row r="746" spans="2:10" x14ac:dyDescent="0.25">
      <c r="B746" s="17">
        <f t="shared" si="11"/>
        <v>45751</v>
      </c>
      <c r="D746" s="18">
        <v>0</v>
      </c>
      <c r="E746" s="18">
        <v>0</v>
      </c>
      <c r="J746" s="17"/>
    </row>
    <row r="747" spans="2:10" x14ac:dyDescent="0.25">
      <c r="B747" s="17">
        <f t="shared" si="11"/>
        <v>45752</v>
      </c>
      <c r="D747" s="18">
        <v>0</v>
      </c>
      <c r="E747" s="18">
        <v>0</v>
      </c>
      <c r="J747" s="17"/>
    </row>
    <row r="748" spans="2:10" x14ac:dyDescent="0.25">
      <c r="B748" s="17">
        <f t="shared" si="11"/>
        <v>45753</v>
      </c>
      <c r="D748" s="18">
        <v>0</v>
      </c>
      <c r="E748" s="18">
        <v>0</v>
      </c>
      <c r="J748" s="17"/>
    </row>
    <row r="749" spans="2:10" x14ac:dyDescent="0.25">
      <c r="B749" s="17">
        <f t="shared" si="11"/>
        <v>45754</v>
      </c>
      <c r="D749" s="18">
        <v>0</v>
      </c>
      <c r="E749" s="18">
        <v>0</v>
      </c>
      <c r="J749" s="17"/>
    </row>
    <row r="750" spans="2:10" x14ac:dyDescent="0.25">
      <c r="B750" s="17">
        <f t="shared" si="11"/>
        <v>45755</v>
      </c>
      <c r="D750" s="18">
        <v>0</v>
      </c>
      <c r="E750" s="18">
        <v>0</v>
      </c>
      <c r="J750" s="17"/>
    </row>
    <row r="751" spans="2:10" x14ac:dyDescent="0.25">
      <c r="B751" s="17">
        <f t="shared" si="11"/>
        <v>45756</v>
      </c>
      <c r="D751" s="18">
        <v>0</v>
      </c>
      <c r="E751" s="18">
        <v>0</v>
      </c>
      <c r="J751" s="17"/>
    </row>
    <row r="752" spans="2:10" x14ac:dyDescent="0.25">
      <c r="B752" s="17">
        <f t="shared" si="11"/>
        <v>45757</v>
      </c>
      <c r="D752" s="18">
        <v>0</v>
      </c>
      <c r="E752" s="18">
        <v>0</v>
      </c>
      <c r="J752" s="17"/>
    </row>
    <row r="753" spans="2:10" x14ac:dyDescent="0.25">
      <c r="B753" s="17">
        <f t="shared" si="11"/>
        <v>45758</v>
      </c>
      <c r="D753" s="18">
        <v>0</v>
      </c>
      <c r="E753" s="18">
        <v>0</v>
      </c>
      <c r="J753" s="17"/>
    </row>
    <row r="754" spans="2:10" x14ac:dyDescent="0.25">
      <c r="B754" s="17">
        <f t="shared" si="11"/>
        <v>45759</v>
      </c>
      <c r="D754" s="18">
        <v>0</v>
      </c>
      <c r="E754" s="18">
        <v>0</v>
      </c>
      <c r="J754" s="17"/>
    </row>
    <row r="755" spans="2:10" x14ac:dyDescent="0.25">
      <c r="B755" s="17">
        <f t="shared" si="11"/>
        <v>45760</v>
      </c>
      <c r="D755" s="18">
        <v>0</v>
      </c>
      <c r="E755" s="18">
        <v>0</v>
      </c>
      <c r="J755" s="17"/>
    </row>
    <row r="756" spans="2:10" x14ac:dyDescent="0.25">
      <c r="B756" s="17">
        <f t="shared" si="11"/>
        <v>45761</v>
      </c>
      <c r="D756" s="18">
        <v>0</v>
      </c>
      <c r="E756" s="18">
        <v>0</v>
      </c>
      <c r="J756" s="17"/>
    </row>
    <row r="757" spans="2:10" x14ac:dyDescent="0.25">
      <c r="B757" s="17">
        <f t="shared" si="11"/>
        <v>45762</v>
      </c>
      <c r="D757" s="18">
        <v>0</v>
      </c>
      <c r="E757" s="18">
        <v>0</v>
      </c>
      <c r="J757" s="17"/>
    </row>
    <row r="758" spans="2:10" x14ac:dyDescent="0.25">
      <c r="B758" s="17">
        <f t="shared" si="11"/>
        <v>45763</v>
      </c>
      <c r="D758" s="18">
        <v>0</v>
      </c>
      <c r="E758" s="18">
        <v>0</v>
      </c>
      <c r="J758" s="17"/>
    </row>
    <row r="759" spans="2:10" x14ac:dyDescent="0.25">
      <c r="B759" s="17">
        <f t="shared" si="11"/>
        <v>45764</v>
      </c>
      <c r="D759" s="18">
        <v>0</v>
      </c>
      <c r="E759" s="18">
        <v>0</v>
      </c>
      <c r="J759" s="17"/>
    </row>
    <row r="760" spans="2:10" x14ac:dyDescent="0.25">
      <c r="B760" s="17">
        <f t="shared" si="11"/>
        <v>45765</v>
      </c>
      <c r="D760" s="18">
        <v>0</v>
      </c>
      <c r="E760" s="18">
        <v>0</v>
      </c>
      <c r="J760" s="17"/>
    </row>
    <row r="761" spans="2:10" x14ac:dyDescent="0.25">
      <c r="B761" s="17">
        <f t="shared" si="11"/>
        <v>45766</v>
      </c>
      <c r="D761" s="18">
        <v>0</v>
      </c>
      <c r="E761" s="18">
        <v>0</v>
      </c>
      <c r="J761" s="17"/>
    </row>
    <row r="762" spans="2:10" x14ac:dyDescent="0.25">
      <c r="B762" s="17">
        <f t="shared" si="11"/>
        <v>45767</v>
      </c>
      <c r="D762" s="18">
        <v>0</v>
      </c>
      <c r="E762" s="18">
        <v>0</v>
      </c>
      <c r="J762" s="17"/>
    </row>
    <row r="763" spans="2:10" x14ac:dyDescent="0.25">
      <c r="B763" s="17">
        <f t="shared" si="11"/>
        <v>45768</v>
      </c>
      <c r="D763" s="18">
        <v>0</v>
      </c>
      <c r="E763" s="18">
        <v>0</v>
      </c>
      <c r="J763" s="17"/>
    </row>
    <row r="764" spans="2:10" x14ac:dyDescent="0.25">
      <c r="B764" s="17">
        <f t="shared" si="11"/>
        <v>45769</v>
      </c>
      <c r="D764" s="18">
        <v>0</v>
      </c>
      <c r="E764" s="18">
        <v>0</v>
      </c>
      <c r="J764" s="17"/>
    </row>
    <row r="765" spans="2:10" x14ac:dyDescent="0.25">
      <c r="B765" s="17">
        <f t="shared" si="11"/>
        <v>45770</v>
      </c>
      <c r="D765" s="18">
        <v>0</v>
      </c>
      <c r="E765" s="18">
        <v>0</v>
      </c>
      <c r="J765" s="17"/>
    </row>
    <row r="766" spans="2:10" x14ac:dyDescent="0.25">
      <c r="B766" s="17">
        <f t="shared" si="11"/>
        <v>45771</v>
      </c>
      <c r="D766" s="18">
        <v>0</v>
      </c>
      <c r="E766" s="18">
        <v>0</v>
      </c>
      <c r="J766" s="17"/>
    </row>
    <row r="767" spans="2:10" x14ac:dyDescent="0.25">
      <c r="B767" s="17">
        <f t="shared" si="11"/>
        <v>45772</v>
      </c>
      <c r="D767" s="18">
        <v>0</v>
      </c>
      <c r="E767" s="18">
        <v>0</v>
      </c>
      <c r="J767" s="17"/>
    </row>
    <row r="768" spans="2:10" x14ac:dyDescent="0.25">
      <c r="B768" s="17">
        <f t="shared" si="11"/>
        <v>45773</v>
      </c>
      <c r="D768" s="18">
        <v>0</v>
      </c>
      <c r="E768" s="18">
        <v>0</v>
      </c>
      <c r="J768" s="17"/>
    </row>
    <row r="769" spans="2:10" x14ac:dyDescent="0.25">
      <c r="B769" s="17">
        <f t="shared" si="11"/>
        <v>45774</v>
      </c>
      <c r="D769" s="18">
        <v>0</v>
      </c>
      <c r="E769" s="18">
        <v>0</v>
      </c>
      <c r="J769" s="17"/>
    </row>
    <row r="770" spans="2:10" x14ac:dyDescent="0.25">
      <c r="B770" s="17">
        <f t="shared" si="11"/>
        <v>45775</v>
      </c>
      <c r="D770" s="18">
        <v>0</v>
      </c>
      <c r="E770" s="18">
        <v>0</v>
      </c>
      <c r="J770" s="17"/>
    </row>
    <row r="771" spans="2:10" x14ac:dyDescent="0.25">
      <c r="B771" s="17">
        <f t="shared" si="11"/>
        <v>45776</v>
      </c>
      <c r="D771" s="18">
        <v>0</v>
      </c>
      <c r="E771" s="18">
        <v>0</v>
      </c>
      <c r="J771" s="17"/>
    </row>
    <row r="772" spans="2:10" x14ac:dyDescent="0.25">
      <c r="B772" s="17">
        <f t="shared" si="11"/>
        <v>45777</v>
      </c>
      <c r="D772" s="18">
        <v>0</v>
      </c>
      <c r="E772" s="18">
        <v>0</v>
      </c>
      <c r="J772" s="17"/>
    </row>
    <row r="773" spans="2:10" x14ac:dyDescent="0.25">
      <c r="B773" s="17">
        <f t="shared" si="11"/>
        <v>45778</v>
      </c>
      <c r="D773" s="18">
        <v>0</v>
      </c>
      <c r="E773" s="18">
        <v>0</v>
      </c>
      <c r="J773" s="17"/>
    </row>
    <row r="774" spans="2:10" x14ac:dyDescent="0.25">
      <c r="B774" s="17">
        <f t="shared" si="11"/>
        <v>45779</v>
      </c>
      <c r="D774" s="18">
        <v>0</v>
      </c>
      <c r="E774" s="18">
        <v>0</v>
      </c>
      <c r="J774" s="17"/>
    </row>
    <row r="775" spans="2:10" x14ac:dyDescent="0.25">
      <c r="B775" s="17">
        <f t="shared" si="11"/>
        <v>45780</v>
      </c>
      <c r="D775" s="18">
        <v>0</v>
      </c>
      <c r="E775" s="18">
        <v>0</v>
      </c>
      <c r="J775" s="17"/>
    </row>
    <row r="776" spans="2:10" x14ac:dyDescent="0.25">
      <c r="B776" s="17">
        <f t="shared" si="11"/>
        <v>45781</v>
      </c>
      <c r="D776" s="18">
        <v>0</v>
      </c>
      <c r="E776" s="18">
        <v>0</v>
      </c>
      <c r="J776" s="17"/>
    </row>
    <row r="777" spans="2:10" x14ac:dyDescent="0.25">
      <c r="B777" s="17">
        <f t="shared" si="11"/>
        <v>45782</v>
      </c>
      <c r="D777" s="18">
        <v>0</v>
      </c>
      <c r="E777" s="18">
        <v>0</v>
      </c>
      <c r="J777" s="17"/>
    </row>
    <row r="778" spans="2:10" x14ac:dyDescent="0.25">
      <c r="B778" s="17">
        <f t="shared" si="11"/>
        <v>45783</v>
      </c>
      <c r="D778" s="18">
        <v>0</v>
      </c>
      <c r="E778" s="18">
        <v>0</v>
      </c>
      <c r="J778" s="17"/>
    </row>
    <row r="779" spans="2:10" x14ac:dyDescent="0.25">
      <c r="B779" s="17">
        <f t="shared" si="11"/>
        <v>45784</v>
      </c>
      <c r="D779" s="18">
        <v>0</v>
      </c>
      <c r="E779" s="18">
        <v>0</v>
      </c>
      <c r="J779" s="17"/>
    </row>
    <row r="780" spans="2:10" x14ac:dyDescent="0.25">
      <c r="B780" s="17">
        <f t="shared" si="11"/>
        <v>45785</v>
      </c>
      <c r="D780" s="18">
        <v>0</v>
      </c>
      <c r="E780" s="18">
        <v>0</v>
      </c>
      <c r="J780" s="17"/>
    </row>
    <row r="781" spans="2:10" x14ac:dyDescent="0.25">
      <c r="B781" s="17">
        <f t="shared" si="11"/>
        <v>45786</v>
      </c>
      <c r="D781" s="18">
        <v>0</v>
      </c>
      <c r="E781" s="18">
        <v>0</v>
      </c>
      <c r="J781" s="17"/>
    </row>
    <row r="782" spans="2:10" x14ac:dyDescent="0.25">
      <c r="B782" s="17">
        <f t="shared" ref="B782:B845" si="12">B781+1</f>
        <v>45787</v>
      </c>
      <c r="D782" s="18">
        <v>0</v>
      </c>
      <c r="E782" s="18">
        <v>0</v>
      </c>
      <c r="J782" s="17"/>
    </row>
    <row r="783" spans="2:10" x14ac:dyDescent="0.25">
      <c r="B783" s="17">
        <f t="shared" si="12"/>
        <v>45788</v>
      </c>
      <c r="D783" s="18">
        <v>0</v>
      </c>
      <c r="E783" s="18">
        <v>0</v>
      </c>
      <c r="J783" s="17"/>
    </row>
    <row r="784" spans="2:10" x14ac:dyDescent="0.25">
      <c r="B784" s="17">
        <f t="shared" si="12"/>
        <v>45789</v>
      </c>
      <c r="D784" s="18">
        <v>0</v>
      </c>
      <c r="E784" s="18">
        <v>0</v>
      </c>
      <c r="J784" s="17"/>
    </row>
    <row r="785" spans="2:10" x14ac:dyDescent="0.25">
      <c r="B785" s="17">
        <f t="shared" si="12"/>
        <v>45790</v>
      </c>
      <c r="D785" s="18">
        <v>0</v>
      </c>
      <c r="E785" s="18">
        <v>0</v>
      </c>
      <c r="J785" s="17"/>
    </row>
    <row r="786" spans="2:10" x14ac:dyDescent="0.25">
      <c r="B786" s="17">
        <f t="shared" si="12"/>
        <v>45791</v>
      </c>
      <c r="D786" s="18">
        <v>0</v>
      </c>
      <c r="E786" s="18">
        <v>0</v>
      </c>
      <c r="J786" s="17"/>
    </row>
    <row r="787" spans="2:10" x14ac:dyDescent="0.25">
      <c r="B787" s="17">
        <f t="shared" si="12"/>
        <v>45792</v>
      </c>
      <c r="D787" s="18">
        <v>0</v>
      </c>
      <c r="E787" s="18">
        <v>0</v>
      </c>
      <c r="J787" s="17"/>
    </row>
    <row r="788" spans="2:10" x14ac:dyDescent="0.25">
      <c r="B788" s="17">
        <f t="shared" si="12"/>
        <v>45793</v>
      </c>
      <c r="D788" s="18">
        <v>0</v>
      </c>
      <c r="E788" s="18">
        <v>0</v>
      </c>
      <c r="J788" s="17"/>
    </row>
    <row r="789" spans="2:10" x14ac:dyDescent="0.25">
      <c r="B789" s="17">
        <f t="shared" si="12"/>
        <v>45794</v>
      </c>
      <c r="D789" s="18">
        <v>0</v>
      </c>
      <c r="E789" s="18">
        <v>0</v>
      </c>
      <c r="J789" s="17"/>
    </row>
    <row r="790" spans="2:10" x14ac:dyDescent="0.25">
      <c r="B790" s="17">
        <f t="shared" si="12"/>
        <v>45795</v>
      </c>
      <c r="D790" s="18">
        <v>0</v>
      </c>
      <c r="E790" s="18">
        <v>0</v>
      </c>
      <c r="J790" s="17"/>
    </row>
    <row r="791" spans="2:10" x14ac:dyDescent="0.25">
      <c r="B791" s="17">
        <f t="shared" si="12"/>
        <v>45796</v>
      </c>
      <c r="D791" s="18">
        <v>0</v>
      </c>
      <c r="E791" s="18">
        <v>0</v>
      </c>
      <c r="J791" s="17"/>
    </row>
    <row r="792" spans="2:10" x14ac:dyDescent="0.25">
      <c r="B792" s="17">
        <f t="shared" si="12"/>
        <v>45797</v>
      </c>
      <c r="D792" s="18">
        <v>0</v>
      </c>
      <c r="E792" s="18">
        <v>0</v>
      </c>
      <c r="J792" s="17"/>
    </row>
    <row r="793" spans="2:10" x14ac:dyDescent="0.25">
      <c r="B793" s="17">
        <f t="shared" si="12"/>
        <v>45798</v>
      </c>
      <c r="D793" s="18">
        <v>0</v>
      </c>
      <c r="E793" s="18">
        <v>0</v>
      </c>
      <c r="J793" s="17"/>
    </row>
    <row r="794" spans="2:10" x14ac:dyDescent="0.25">
      <c r="B794" s="17">
        <f t="shared" si="12"/>
        <v>45799</v>
      </c>
      <c r="D794" s="18">
        <v>0</v>
      </c>
      <c r="E794" s="18">
        <v>0</v>
      </c>
      <c r="J794" s="17"/>
    </row>
    <row r="795" spans="2:10" x14ac:dyDescent="0.25">
      <c r="B795" s="17">
        <f t="shared" si="12"/>
        <v>45800</v>
      </c>
      <c r="D795" s="18">
        <v>0</v>
      </c>
      <c r="E795" s="18">
        <v>0</v>
      </c>
      <c r="J795" s="17"/>
    </row>
    <row r="796" spans="2:10" x14ac:dyDescent="0.25">
      <c r="B796" s="17">
        <f t="shared" si="12"/>
        <v>45801</v>
      </c>
      <c r="D796" s="18">
        <v>0</v>
      </c>
      <c r="E796" s="18">
        <v>0</v>
      </c>
      <c r="J796" s="17"/>
    </row>
    <row r="797" spans="2:10" x14ac:dyDescent="0.25">
      <c r="B797" s="17">
        <f t="shared" si="12"/>
        <v>45802</v>
      </c>
      <c r="D797" s="18">
        <v>0</v>
      </c>
      <c r="E797" s="18">
        <v>0</v>
      </c>
      <c r="J797" s="17"/>
    </row>
    <row r="798" spans="2:10" x14ac:dyDescent="0.25">
      <c r="B798" s="17">
        <f t="shared" si="12"/>
        <v>45803</v>
      </c>
      <c r="D798" s="18">
        <v>0</v>
      </c>
      <c r="E798" s="18">
        <v>0</v>
      </c>
      <c r="J798" s="17"/>
    </row>
    <row r="799" spans="2:10" x14ac:dyDescent="0.25">
      <c r="B799" s="17">
        <f t="shared" si="12"/>
        <v>45804</v>
      </c>
      <c r="D799" s="18">
        <v>0</v>
      </c>
      <c r="E799" s="18">
        <v>0</v>
      </c>
      <c r="J799" s="17"/>
    </row>
    <row r="800" spans="2:10" x14ac:dyDescent="0.25">
      <c r="B800" s="17">
        <f t="shared" si="12"/>
        <v>45805</v>
      </c>
      <c r="D800" s="18">
        <v>0</v>
      </c>
      <c r="E800" s="18">
        <v>0</v>
      </c>
      <c r="J800" s="17"/>
    </row>
    <row r="801" spans="2:10" x14ac:dyDescent="0.25">
      <c r="B801" s="17">
        <f t="shared" si="12"/>
        <v>45806</v>
      </c>
      <c r="D801" s="18">
        <v>0</v>
      </c>
      <c r="E801" s="18">
        <v>0</v>
      </c>
      <c r="J801" s="17"/>
    </row>
    <row r="802" spans="2:10" x14ac:dyDescent="0.25">
      <c r="B802" s="17">
        <f t="shared" si="12"/>
        <v>45807</v>
      </c>
      <c r="D802" s="18">
        <v>0</v>
      </c>
      <c r="E802" s="18">
        <v>0</v>
      </c>
      <c r="J802" s="17"/>
    </row>
    <row r="803" spans="2:10" x14ac:dyDescent="0.25">
      <c r="B803" s="17">
        <f t="shared" si="12"/>
        <v>45808</v>
      </c>
      <c r="D803" s="18">
        <v>0</v>
      </c>
      <c r="E803" s="18">
        <v>0</v>
      </c>
      <c r="J803" s="17"/>
    </row>
    <row r="804" spans="2:10" x14ac:dyDescent="0.25">
      <c r="B804" s="17">
        <f t="shared" si="12"/>
        <v>45809</v>
      </c>
      <c r="D804" s="18">
        <v>0</v>
      </c>
      <c r="E804" s="18">
        <v>0</v>
      </c>
      <c r="J804" s="17"/>
    </row>
    <row r="805" spans="2:10" x14ac:dyDescent="0.25">
      <c r="B805" s="17">
        <f t="shared" si="12"/>
        <v>45810</v>
      </c>
      <c r="D805" s="18">
        <v>0</v>
      </c>
      <c r="E805" s="18">
        <v>0</v>
      </c>
      <c r="J805" s="17"/>
    </row>
    <row r="806" spans="2:10" x14ac:dyDescent="0.25">
      <c r="B806" s="17">
        <f t="shared" si="12"/>
        <v>45811</v>
      </c>
      <c r="D806" s="18">
        <v>0</v>
      </c>
      <c r="E806" s="18">
        <v>0</v>
      </c>
      <c r="J806" s="17"/>
    </row>
    <row r="807" spans="2:10" x14ac:dyDescent="0.25">
      <c r="B807" s="17">
        <f t="shared" si="12"/>
        <v>45812</v>
      </c>
      <c r="D807" s="18">
        <v>0</v>
      </c>
      <c r="E807" s="18">
        <v>0</v>
      </c>
      <c r="J807" s="17"/>
    </row>
    <row r="808" spans="2:10" x14ac:dyDescent="0.25">
      <c r="B808" s="17">
        <f t="shared" si="12"/>
        <v>45813</v>
      </c>
      <c r="D808" s="18">
        <v>0</v>
      </c>
      <c r="E808" s="18">
        <v>0</v>
      </c>
      <c r="J808" s="17"/>
    </row>
    <row r="809" spans="2:10" x14ac:dyDescent="0.25">
      <c r="B809" s="17">
        <f t="shared" si="12"/>
        <v>45814</v>
      </c>
      <c r="D809" s="18">
        <v>0</v>
      </c>
      <c r="E809" s="18">
        <v>0</v>
      </c>
      <c r="J809" s="17"/>
    </row>
    <row r="810" spans="2:10" x14ac:dyDescent="0.25">
      <c r="B810" s="17">
        <f t="shared" si="12"/>
        <v>45815</v>
      </c>
      <c r="D810" s="18">
        <v>0</v>
      </c>
      <c r="E810" s="18">
        <v>0</v>
      </c>
      <c r="J810" s="17"/>
    </row>
    <row r="811" spans="2:10" x14ac:dyDescent="0.25">
      <c r="B811" s="17">
        <f t="shared" si="12"/>
        <v>45816</v>
      </c>
      <c r="D811" s="18">
        <v>0</v>
      </c>
      <c r="E811" s="18">
        <v>0</v>
      </c>
      <c r="J811" s="17"/>
    </row>
    <row r="812" spans="2:10" x14ac:dyDescent="0.25">
      <c r="B812" s="17">
        <f t="shared" si="12"/>
        <v>45817</v>
      </c>
      <c r="D812" s="18">
        <v>0</v>
      </c>
      <c r="E812" s="18">
        <v>0</v>
      </c>
      <c r="J812" s="17"/>
    </row>
    <row r="813" spans="2:10" x14ac:dyDescent="0.25">
      <c r="B813" s="17">
        <f t="shared" si="12"/>
        <v>45818</v>
      </c>
      <c r="D813" s="18">
        <v>0</v>
      </c>
      <c r="E813" s="18">
        <v>0</v>
      </c>
      <c r="J813" s="17"/>
    </row>
    <row r="814" spans="2:10" x14ac:dyDescent="0.25">
      <c r="B814" s="17">
        <f t="shared" si="12"/>
        <v>45819</v>
      </c>
      <c r="D814" s="18">
        <v>0</v>
      </c>
      <c r="E814" s="18">
        <v>0</v>
      </c>
      <c r="J814" s="17"/>
    </row>
    <row r="815" spans="2:10" x14ac:dyDescent="0.25">
      <c r="B815" s="17">
        <f t="shared" si="12"/>
        <v>45820</v>
      </c>
      <c r="D815" s="18">
        <v>0</v>
      </c>
      <c r="E815" s="18">
        <v>0</v>
      </c>
      <c r="J815" s="17"/>
    </row>
    <row r="816" spans="2:10" x14ac:dyDescent="0.25">
      <c r="B816" s="17">
        <f t="shared" si="12"/>
        <v>45821</v>
      </c>
      <c r="D816" s="18">
        <v>0</v>
      </c>
      <c r="E816" s="18">
        <v>0</v>
      </c>
      <c r="J816" s="17"/>
    </row>
    <row r="817" spans="2:10" x14ac:dyDescent="0.25">
      <c r="B817" s="17">
        <f t="shared" si="12"/>
        <v>45822</v>
      </c>
      <c r="D817" s="18">
        <v>0</v>
      </c>
      <c r="E817" s="18">
        <v>0</v>
      </c>
      <c r="J817" s="17"/>
    </row>
    <row r="818" spans="2:10" x14ac:dyDescent="0.25">
      <c r="B818" s="17">
        <f t="shared" si="12"/>
        <v>45823</v>
      </c>
      <c r="D818" s="18">
        <v>0</v>
      </c>
      <c r="E818" s="18">
        <v>0</v>
      </c>
      <c r="J818" s="17"/>
    </row>
    <row r="819" spans="2:10" x14ac:dyDescent="0.25">
      <c r="B819" s="17">
        <f t="shared" si="12"/>
        <v>45824</v>
      </c>
      <c r="D819" s="18">
        <v>0</v>
      </c>
      <c r="E819" s="18">
        <v>0</v>
      </c>
      <c r="J819" s="17"/>
    </row>
    <row r="820" spans="2:10" x14ac:dyDescent="0.25">
      <c r="B820" s="17">
        <f t="shared" si="12"/>
        <v>45825</v>
      </c>
      <c r="D820" s="18">
        <v>0</v>
      </c>
      <c r="E820" s="18">
        <v>0</v>
      </c>
      <c r="J820" s="17"/>
    </row>
    <row r="821" spans="2:10" x14ac:dyDescent="0.25">
      <c r="B821" s="17">
        <f t="shared" si="12"/>
        <v>45826</v>
      </c>
      <c r="D821" s="18">
        <v>0</v>
      </c>
      <c r="E821" s="18">
        <v>0</v>
      </c>
      <c r="J821" s="17"/>
    </row>
    <row r="822" spans="2:10" x14ac:dyDescent="0.25">
      <c r="B822" s="17">
        <f t="shared" si="12"/>
        <v>45827</v>
      </c>
      <c r="D822" s="18">
        <v>0</v>
      </c>
      <c r="E822" s="18">
        <v>0</v>
      </c>
      <c r="J822" s="17"/>
    </row>
    <row r="823" spans="2:10" x14ac:dyDescent="0.25">
      <c r="B823" s="17">
        <f t="shared" si="12"/>
        <v>45828</v>
      </c>
      <c r="D823" s="18">
        <v>0</v>
      </c>
      <c r="E823" s="18">
        <v>0</v>
      </c>
      <c r="J823" s="17"/>
    </row>
    <row r="824" spans="2:10" x14ac:dyDescent="0.25">
      <c r="B824" s="17">
        <f t="shared" si="12"/>
        <v>45829</v>
      </c>
      <c r="D824" s="18">
        <v>0</v>
      </c>
      <c r="E824" s="18">
        <v>0</v>
      </c>
      <c r="J824" s="17"/>
    </row>
    <row r="825" spans="2:10" x14ac:dyDescent="0.25">
      <c r="B825" s="17">
        <f t="shared" si="12"/>
        <v>45830</v>
      </c>
      <c r="D825" s="18">
        <v>0</v>
      </c>
      <c r="E825" s="18">
        <v>0</v>
      </c>
      <c r="J825" s="17"/>
    </row>
    <row r="826" spans="2:10" x14ac:dyDescent="0.25">
      <c r="B826" s="17">
        <f t="shared" si="12"/>
        <v>45831</v>
      </c>
      <c r="D826" s="18">
        <v>0</v>
      </c>
      <c r="E826" s="18">
        <v>0</v>
      </c>
      <c r="J826" s="17"/>
    </row>
    <row r="827" spans="2:10" x14ac:dyDescent="0.25">
      <c r="B827" s="17">
        <f t="shared" si="12"/>
        <v>45832</v>
      </c>
      <c r="D827" s="18">
        <v>0</v>
      </c>
      <c r="E827" s="18">
        <v>0</v>
      </c>
      <c r="J827" s="17"/>
    </row>
    <row r="828" spans="2:10" x14ac:dyDescent="0.25">
      <c r="B828" s="17">
        <f t="shared" si="12"/>
        <v>45833</v>
      </c>
      <c r="D828" s="18">
        <v>0</v>
      </c>
      <c r="E828" s="18">
        <v>0</v>
      </c>
      <c r="J828" s="17"/>
    </row>
    <row r="829" spans="2:10" x14ac:dyDescent="0.25">
      <c r="B829" s="17">
        <f t="shared" si="12"/>
        <v>45834</v>
      </c>
      <c r="D829" s="18">
        <v>0</v>
      </c>
      <c r="E829" s="18">
        <v>0</v>
      </c>
      <c r="J829" s="17"/>
    </row>
    <row r="830" spans="2:10" x14ac:dyDescent="0.25">
      <c r="B830" s="17">
        <f t="shared" si="12"/>
        <v>45835</v>
      </c>
      <c r="D830" s="18">
        <v>0</v>
      </c>
      <c r="E830" s="18">
        <v>0</v>
      </c>
      <c r="J830" s="17"/>
    </row>
    <row r="831" spans="2:10" x14ac:dyDescent="0.25">
      <c r="B831" s="17">
        <f t="shared" si="12"/>
        <v>45836</v>
      </c>
      <c r="D831" s="18">
        <v>0</v>
      </c>
      <c r="E831" s="18">
        <v>0</v>
      </c>
      <c r="J831" s="17"/>
    </row>
    <row r="832" spans="2:10" x14ac:dyDescent="0.25">
      <c r="B832" s="17">
        <f t="shared" si="12"/>
        <v>45837</v>
      </c>
      <c r="D832" s="18">
        <v>0</v>
      </c>
      <c r="E832" s="18">
        <v>0</v>
      </c>
      <c r="J832" s="17"/>
    </row>
    <row r="833" spans="2:10" x14ac:dyDescent="0.25">
      <c r="B833" s="17">
        <f t="shared" si="12"/>
        <v>45838</v>
      </c>
      <c r="D833" s="18">
        <v>0</v>
      </c>
      <c r="E833" s="18">
        <v>0</v>
      </c>
      <c r="J833" s="17"/>
    </row>
    <row r="834" spans="2:10" x14ac:dyDescent="0.25">
      <c r="B834" s="17">
        <f t="shared" si="12"/>
        <v>45839</v>
      </c>
      <c r="D834" s="18">
        <v>0</v>
      </c>
      <c r="E834" s="18">
        <v>0</v>
      </c>
      <c r="J834" s="17"/>
    </row>
    <row r="835" spans="2:10" x14ac:dyDescent="0.25">
      <c r="B835" s="17">
        <f t="shared" si="12"/>
        <v>45840</v>
      </c>
      <c r="D835" s="18">
        <v>0</v>
      </c>
      <c r="E835" s="18">
        <v>0</v>
      </c>
      <c r="J835" s="17"/>
    </row>
    <row r="836" spans="2:10" x14ac:dyDescent="0.25">
      <c r="B836" s="17">
        <f t="shared" si="12"/>
        <v>45841</v>
      </c>
      <c r="D836" s="18">
        <v>0</v>
      </c>
      <c r="E836" s="18">
        <v>0</v>
      </c>
      <c r="J836" s="17"/>
    </row>
    <row r="837" spans="2:10" x14ac:dyDescent="0.25">
      <c r="B837" s="17">
        <f t="shared" si="12"/>
        <v>45842</v>
      </c>
      <c r="D837" s="18">
        <v>0</v>
      </c>
      <c r="E837" s="18">
        <v>0</v>
      </c>
      <c r="J837" s="17"/>
    </row>
    <row r="838" spans="2:10" x14ac:dyDescent="0.25">
      <c r="B838" s="17">
        <f t="shared" si="12"/>
        <v>45843</v>
      </c>
      <c r="D838" s="18">
        <v>0</v>
      </c>
      <c r="E838" s="18">
        <v>0</v>
      </c>
      <c r="J838" s="17"/>
    </row>
    <row r="839" spans="2:10" x14ac:dyDescent="0.25">
      <c r="B839" s="17">
        <f t="shared" si="12"/>
        <v>45844</v>
      </c>
      <c r="D839" s="18">
        <v>0</v>
      </c>
      <c r="E839" s="18">
        <v>0</v>
      </c>
      <c r="J839" s="17"/>
    </row>
    <row r="840" spans="2:10" x14ac:dyDescent="0.25">
      <c r="B840" s="17">
        <f t="shared" si="12"/>
        <v>45845</v>
      </c>
      <c r="D840" s="18">
        <v>0</v>
      </c>
      <c r="E840" s="18">
        <v>0</v>
      </c>
      <c r="J840" s="17"/>
    </row>
    <row r="841" spans="2:10" x14ac:dyDescent="0.25">
      <c r="B841" s="17">
        <f t="shared" si="12"/>
        <v>45846</v>
      </c>
      <c r="D841" s="18">
        <v>0</v>
      </c>
      <c r="E841" s="18">
        <v>0</v>
      </c>
      <c r="J841" s="17"/>
    </row>
    <row r="842" spans="2:10" x14ac:dyDescent="0.25">
      <c r="B842" s="17">
        <f t="shared" si="12"/>
        <v>45847</v>
      </c>
      <c r="D842" s="18">
        <v>0</v>
      </c>
      <c r="E842" s="18">
        <v>0</v>
      </c>
      <c r="J842" s="17"/>
    </row>
    <row r="843" spans="2:10" x14ac:dyDescent="0.25">
      <c r="B843" s="17">
        <f t="shared" si="12"/>
        <v>45848</v>
      </c>
      <c r="D843" s="18">
        <v>0</v>
      </c>
      <c r="E843" s="18">
        <v>0</v>
      </c>
      <c r="J843" s="17"/>
    </row>
    <row r="844" spans="2:10" x14ac:dyDescent="0.25">
      <c r="B844" s="17">
        <f t="shared" si="12"/>
        <v>45849</v>
      </c>
      <c r="D844" s="18">
        <v>0</v>
      </c>
      <c r="E844" s="18">
        <v>0</v>
      </c>
      <c r="J844" s="17"/>
    </row>
    <row r="845" spans="2:10" x14ac:dyDescent="0.25">
      <c r="B845" s="17">
        <f t="shared" si="12"/>
        <v>45850</v>
      </c>
      <c r="D845" s="18">
        <v>0</v>
      </c>
      <c r="E845" s="18">
        <v>0</v>
      </c>
      <c r="J845" s="17"/>
    </row>
    <row r="846" spans="2:10" x14ac:dyDescent="0.25">
      <c r="B846" s="17">
        <f t="shared" ref="B846:B909" si="13">B845+1</f>
        <v>45851</v>
      </c>
      <c r="D846" s="18">
        <v>0</v>
      </c>
      <c r="E846" s="18">
        <v>0</v>
      </c>
      <c r="J846" s="17"/>
    </row>
    <row r="847" spans="2:10" x14ac:dyDescent="0.25">
      <c r="B847" s="17">
        <f t="shared" si="13"/>
        <v>45852</v>
      </c>
      <c r="D847" s="18">
        <v>0</v>
      </c>
      <c r="E847" s="18">
        <v>0</v>
      </c>
      <c r="J847" s="17"/>
    </row>
    <row r="848" spans="2:10" x14ac:dyDescent="0.25">
      <c r="B848" s="17">
        <f t="shared" si="13"/>
        <v>45853</v>
      </c>
      <c r="D848" s="18">
        <v>0</v>
      </c>
      <c r="E848" s="18">
        <v>0</v>
      </c>
      <c r="J848" s="17"/>
    </row>
    <row r="849" spans="2:10" x14ac:dyDescent="0.25">
      <c r="B849" s="17">
        <f t="shared" si="13"/>
        <v>45854</v>
      </c>
      <c r="D849" s="18">
        <v>0</v>
      </c>
      <c r="E849" s="18">
        <v>0</v>
      </c>
      <c r="J849" s="17"/>
    </row>
    <row r="850" spans="2:10" x14ac:dyDescent="0.25">
      <c r="B850" s="17">
        <f t="shared" si="13"/>
        <v>45855</v>
      </c>
      <c r="D850" s="18">
        <v>0</v>
      </c>
      <c r="E850" s="18">
        <v>0</v>
      </c>
      <c r="J850" s="17"/>
    </row>
    <row r="851" spans="2:10" x14ac:dyDescent="0.25">
      <c r="B851" s="17">
        <f t="shared" si="13"/>
        <v>45856</v>
      </c>
      <c r="D851" s="18">
        <v>0</v>
      </c>
      <c r="E851" s="18">
        <v>0</v>
      </c>
      <c r="J851" s="17"/>
    </row>
    <row r="852" spans="2:10" x14ac:dyDescent="0.25">
      <c r="B852" s="17">
        <f t="shared" si="13"/>
        <v>45857</v>
      </c>
      <c r="D852" s="18">
        <v>0</v>
      </c>
      <c r="E852" s="18">
        <v>0</v>
      </c>
      <c r="J852" s="17"/>
    </row>
    <row r="853" spans="2:10" x14ac:dyDescent="0.25">
      <c r="B853" s="17">
        <f t="shared" si="13"/>
        <v>45858</v>
      </c>
      <c r="D853" s="18">
        <v>0</v>
      </c>
      <c r="E853" s="18">
        <v>0</v>
      </c>
      <c r="J853" s="17"/>
    </row>
    <row r="854" spans="2:10" x14ac:dyDescent="0.25">
      <c r="B854" s="17">
        <f t="shared" si="13"/>
        <v>45859</v>
      </c>
      <c r="D854" s="18">
        <v>0</v>
      </c>
      <c r="E854" s="18">
        <v>0</v>
      </c>
      <c r="J854" s="17"/>
    </row>
    <row r="855" spans="2:10" x14ac:dyDescent="0.25">
      <c r="B855" s="17">
        <f t="shared" si="13"/>
        <v>45860</v>
      </c>
      <c r="D855" s="18">
        <v>0</v>
      </c>
      <c r="E855" s="18">
        <v>0</v>
      </c>
      <c r="J855" s="17"/>
    </row>
    <row r="856" spans="2:10" x14ac:dyDescent="0.25">
      <c r="B856" s="17">
        <f t="shared" si="13"/>
        <v>45861</v>
      </c>
      <c r="D856" s="18">
        <v>0</v>
      </c>
      <c r="E856" s="18">
        <v>0</v>
      </c>
      <c r="J856" s="17"/>
    </row>
    <row r="857" spans="2:10" x14ac:dyDescent="0.25">
      <c r="B857" s="17">
        <f t="shared" si="13"/>
        <v>45862</v>
      </c>
      <c r="D857" s="18">
        <v>0</v>
      </c>
      <c r="E857" s="18">
        <v>0</v>
      </c>
      <c r="J857" s="17"/>
    </row>
    <row r="858" spans="2:10" x14ac:dyDescent="0.25">
      <c r="B858" s="17">
        <f t="shared" si="13"/>
        <v>45863</v>
      </c>
      <c r="D858" s="18">
        <v>0</v>
      </c>
      <c r="E858" s="18">
        <v>0</v>
      </c>
      <c r="J858" s="17"/>
    </row>
    <row r="859" spans="2:10" x14ac:dyDescent="0.25">
      <c r="B859" s="17">
        <f t="shared" si="13"/>
        <v>45864</v>
      </c>
      <c r="D859" s="18">
        <v>0</v>
      </c>
      <c r="E859" s="18">
        <v>0</v>
      </c>
      <c r="J859" s="17"/>
    </row>
    <row r="860" spans="2:10" x14ac:dyDescent="0.25">
      <c r="B860" s="17">
        <f t="shared" si="13"/>
        <v>45865</v>
      </c>
      <c r="D860" s="18">
        <v>0</v>
      </c>
      <c r="E860" s="18">
        <v>0</v>
      </c>
      <c r="J860" s="17"/>
    </row>
    <row r="861" spans="2:10" x14ac:dyDescent="0.25">
      <c r="B861" s="17">
        <f t="shared" si="13"/>
        <v>45866</v>
      </c>
      <c r="D861" s="18">
        <v>0</v>
      </c>
      <c r="E861" s="18">
        <v>0</v>
      </c>
      <c r="J861" s="17"/>
    </row>
    <row r="862" spans="2:10" x14ac:dyDescent="0.25">
      <c r="B862" s="17">
        <f t="shared" si="13"/>
        <v>45867</v>
      </c>
      <c r="D862" s="18">
        <v>0</v>
      </c>
      <c r="E862" s="18">
        <v>0</v>
      </c>
      <c r="J862" s="17"/>
    </row>
    <row r="863" spans="2:10" x14ac:dyDescent="0.25">
      <c r="B863" s="17">
        <f t="shared" si="13"/>
        <v>45868</v>
      </c>
      <c r="D863" s="18">
        <v>0</v>
      </c>
      <c r="E863" s="18">
        <v>0</v>
      </c>
      <c r="J863" s="17"/>
    </row>
    <row r="864" spans="2:10" x14ac:dyDescent="0.25">
      <c r="B864" s="17">
        <f t="shared" si="13"/>
        <v>45869</v>
      </c>
      <c r="D864" s="18">
        <v>0</v>
      </c>
      <c r="E864" s="18">
        <v>0</v>
      </c>
      <c r="J864" s="17"/>
    </row>
    <row r="865" spans="2:10" x14ac:dyDescent="0.25">
      <c r="B865" s="17">
        <f t="shared" si="13"/>
        <v>45870</v>
      </c>
      <c r="D865" s="18">
        <v>0</v>
      </c>
      <c r="E865" s="18">
        <v>0</v>
      </c>
      <c r="J865" s="17"/>
    </row>
    <row r="866" spans="2:10" x14ac:dyDescent="0.25">
      <c r="B866" s="17">
        <f t="shared" si="13"/>
        <v>45871</v>
      </c>
      <c r="D866" s="18">
        <v>0</v>
      </c>
      <c r="E866" s="18">
        <v>0</v>
      </c>
      <c r="J866" s="17"/>
    </row>
    <row r="867" spans="2:10" x14ac:dyDescent="0.25">
      <c r="B867" s="17">
        <f t="shared" si="13"/>
        <v>45872</v>
      </c>
      <c r="D867" s="18">
        <v>0</v>
      </c>
      <c r="E867" s="18">
        <v>0</v>
      </c>
      <c r="J867" s="17"/>
    </row>
    <row r="868" spans="2:10" x14ac:dyDescent="0.25">
      <c r="B868" s="17">
        <f t="shared" si="13"/>
        <v>45873</v>
      </c>
      <c r="D868" s="18">
        <v>0</v>
      </c>
      <c r="E868" s="18">
        <v>0</v>
      </c>
      <c r="J868" s="17"/>
    </row>
    <row r="869" spans="2:10" x14ac:dyDescent="0.25">
      <c r="B869" s="17">
        <f t="shared" si="13"/>
        <v>45874</v>
      </c>
      <c r="D869" s="18">
        <v>0</v>
      </c>
      <c r="E869" s="18">
        <v>0</v>
      </c>
      <c r="J869" s="17"/>
    </row>
    <row r="870" spans="2:10" x14ac:dyDescent="0.25">
      <c r="B870" s="17">
        <f t="shared" si="13"/>
        <v>45875</v>
      </c>
      <c r="D870" s="18">
        <v>0</v>
      </c>
      <c r="E870" s="18">
        <v>0</v>
      </c>
      <c r="J870" s="17"/>
    </row>
    <row r="871" spans="2:10" x14ac:dyDescent="0.25">
      <c r="B871" s="17">
        <f t="shared" si="13"/>
        <v>45876</v>
      </c>
      <c r="D871" s="18">
        <v>0</v>
      </c>
      <c r="E871" s="18">
        <v>0</v>
      </c>
      <c r="J871" s="17"/>
    </row>
    <row r="872" spans="2:10" x14ac:dyDescent="0.25">
      <c r="B872" s="17">
        <f t="shared" si="13"/>
        <v>45877</v>
      </c>
      <c r="D872" s="18">
        <v>0</v>
      </c>
      <c r="E872" s="18">
        <v>0</v>
      </c>
      <c r="J872" s="17"/>
    </row>
    <row r="873" spans="2:10" x14ac:dyDescent="0.25">
      <c r="B873" s="17">
        <f t="shared" si="13"/>
        <v>45878</v>
      </c>
      <c r="D873" s="18">
        <v>0</v>
      </c>
      <c r="E873" s="18">
        <v>0</v>
      </c>
      <c r="J873" s="17"/>
    </row>
    <row r="874" spans="2:10" x14ac:dyDescent="0.25">
      <c r="B874" s="17">
        <f t="shared" si="13"/>
        <v>45879</v>
      </c>
      <c r="D874" s="18">
        <v>0</v>
      </c>
      <c r="E874" s="18">
        <v>0</v>
      </c>
      <c r="J874" s="17"/>
    </row>
    <row r="875" spans="2:10" x14ac:dyDescent="0.25">
      <c r="B875" s="17">
        <f t="shared" si="13"/>
        <v>45880</v>
      </c>
      <c r="D875" s="18">
        <v>0</v>
      </c>
      <c r="E875" s="18">
        <v>0</v>
      </c>
      <c r="J875" s="17"/>
    </row>
    <row r="876" spans="2:10" x14ac:dyDescent="0.25">
      <c r="B876" s="17">
        <f t="shared" si="13"/>
        <v>45881</v>
      </c>
      <c r="D876" s="18">
        <v>0</v>
      </c>
      <c r="E876" s="18">
        <v>0</v>
      </c>
      <c r="J876" s="17"/>
    </row>
    <row r="877" spans="2:10" x14ac:dyDescent="0.25">
      <c r="B877" s="17">
        <f t="shared" si="13"/>
        <v>45882</v>
      </c>
      <c r="D877" s="18">
        <v>0</v>
      </c>
      <c r="E877" s="18">
        <v>0</v>
      </c>
      <c r="J877" s="17"/>
    </row>
    <row r="878" spans="2:10" x14ac:dyDescent="0.25">
      <c r="B878" s="17">
        <f t="shared" si="13"/>
        <v>45883</v>
      </c>
      <c r="D878" s="18">
        <v>0</v>
      </c>
      <c r="E878" s="18">
        <v>0</v>
      </c>
      <c r="J878" s="17"/>
    </row>
    <row r="879" spans="2:10" x14ac:dyDescent="0.25">
      <c r="B879" s="17">
        <f t="shared" si="13"/>
        <v>45884</v>
      </c>
      <c r="D879" s="18">
        <v>0</v>
      </c>
      <c r="E879" s="18">
        <v>0</v>
      </c>
      <c r="J879" s="17"/>
    </row>
    <row r="880" spans="2:10" x14ac:dyDescent="0.25">
      <c r="B880" s="17">
        <f t="shared" si="13"/>
        <v>45885</v>
      </c>
      <c r="D880" s="18">
        <v>0</v>
      </c>
      <c r="E880" s="18">
        <v>0</v>
      </c>
      <c r="J880" s="17"/>
    </row>
    <row r="881" spans="2:10" x14ac:dyDescent="0.25">
      <c r="B881" s="17">
        <f t="shared" si="13"/>
        <v>45886</v>
      </c>
      <c r="D881" s="18">
        <v>0</v>
      </c>
      <c r="E881" s="18">
        <v>0</v>
      </c>
      <c r="J881" s="17"/>
    </row>
    <row r="882" spans="2:10" x14ac:dyDescent="0.25">
      <c r="B882" s="17">
        <f t="shared" si="13"/>
        <v>45887</v>
      </c>
      <c r="D882" s="18">
        <v>0</v>
      </c>
      <c r="E882" s="18">
        <v>0</v>
      </c>
      <c r="J882" s="17"/>
    </row>
    <row r="883" spans="2:10" x14ac:dyDescent="0.25">
      <c r="B883" s="17">
        <f t="shared" si="13"/>
        <v>45888</v>
      </c>
      <c r="D883" s="18">
        <v>0</v>
      </c>
      <c r="E883" s="18">
        <v>0</v>
      </c>
      <c r="J883" s="17"/>
    </row>
    <row r="884" spans="2:10" x14ac:dyDescent="0.25">
      <c r="B884" s="17">
        <f t="shared" si="13"/>
        <v>45889</v>
      </c>
      <c r="D884" s="18">
        <v>0</v>
      </c>
      <c r="E884" s="18">
        <v>0</v>
      </c>
      <c r="J884" s="17"/>
    </row>
    <row r="885" spans="2:10" x14ac:dyDescent="0.25">
      <c r="B885" s="17">
        <f t="shared" si="13"/>
        <v>45890</v>
      </c>
      <c r="D885" s="18">
        <v>0</v>
      </c>
      <c r="E885" s="18">
        <v>0</v>
      </c>
      <c r="J885" s="17"/>
    </row>
    <row r="886" spans="2:10" x14ac:dyDescent="0.25">
      <c r="B886" s="17">
        <f t="shared" si="13"/>
        <v>45891</v>
      </c>
      <c r="D886" s="18">
        <v>0</v>
      </c>
      <c r="E886" s="18">
        <v>0</v>
      </c>
      <c r="J886" s="17"/>
    </row>
    <row r="887" spans="2:10" x14ac:dyDescent="0.25">
      <c r="B887" s="17">
        <f t="shared" si="13"/>
        <v>45892</v>
      </c>
      <c r="D887" s="18">
        <v>0</v>
      </c>
      <c r="E887" s="18">
        <v>0</v>
      </c>
      <c r="J887" s="17"/>
    </row>
    <row r="888" spans="2:10" x14ac:dyDescent="0.25">
      <c r="B888" s="17">
        <f t="shared" si="13"/>
        <v>45893</v>
      </c>
      <c r="D888" s="18">
        <v>0</v>
      </c>
      <c r="E888" s="18">
        <v>0</v>
      </c>
      <c r="J888" s="17"/>
    </row>
    <row r="889" spans="2:10" x14ac:dyDescent="0.25">
      <c r="B889" s="17">
        <f t="shared" si="13"/>
        <v>45894</v>
      </c>
      <c r="D889" s="18">
        <v>0</v>
      </c>
      <c r="E889" s="18">
        <v>0</v>
      </c>
      <c r="J889" s="17"/>
    </row>
    <row r="890" spans="2:10" x14ac:dyDescent="0.25">
      <c r="B890" s="17">
        <f t="shared" si="13"/>
        <v>45895</v>
      </c>
      <c r="D890" s="18">
        <v>0</v>
      </c>
      <c r="E890" s="18">
        <v>0</v>
      </c>
      <c r="J890" s="17"/>
    </row>
    <row r="891" spans="2:10" x14ac:dyDescent="0.25">
      <c r="B891" s="17">
        <f t="shared" si="13"/>
        <v>45896</v>
      </c>
      <c r="D891" s="18">
        <v>0</v>
      </c>
      <c r="E891" s="18">
        <v>0</v>
      </c>
      <c r="J891" s="17"/>
    </row>
    <row r="892" spans="2:10" x14ac:dyDescent="0.25">
      <c r="B892" s="17">
        <f t="shared" si="13"/>
        <v>45897</v>
      </c>
      <c r="D892" s="18">
        <v>0</v>
      </c>
      <c r="E892" s="18">
        <v>0</v>
      </c>
      <c r="J892" s="17"/>
    </row>
    <row r="893" spans="2:10" x14ac:dyDescent="0.25">
      <c r="B893" s="17">
        <f t="shared" si="13"/>
        <v>45898</v>
      </c>
      <c r="D893" s="18">
        <v>0</v>
      </c>
      <c r="E893" s="18">
        <v>0</v>
      </c>
      <c r="J893" s="17"/>
    </row>
    <row r="894" spans="2:10" x14ac:dyDescent="0.25">
      <c r="B894" s="17">
        <f t="shared" si="13"/>
        <v>45899</v>
      </c>
      <c r="D894" s="18">
        <v>0</v>
      </c>
      <c r="E894" s="18">
        <v>0</v>
      </c>
      <c r="J894" s="17"/>
    </row>
    <row r="895" spans="2:10" x14ac:dyDescent="0.25">
      <c r="B895" s="17">
        <f t="shared" si="13"/>
        <v>45900</v>
      </c>
      <c r="D895" s="18">
        <v>0</v>
      </c>
      <c r="E895" s="18">
        <v>0</v>
      </c>
      <c r="J895" s="17"/>
    </row>
    <row r="896" spans="2:10" x14ac:dyDescent="0.25">
      <c r="B896" s="17">
        <f t="shared" si="13"/>
        <v>45901</v>
      </c>
      <c r="D896" s="18">
        <v>0</v>
      </c>
      <c r="E896" s="18">
        <v>0</v>
      </c>
      <c r="J896" s="17"/>
    </row>
    <row r="897" spans="2:10" x14ac:dyDescent="0.25">
      <c r="B897" s="17">
        <f t="shared" si="13"/>
        <v>45902</v>
      </c>
      <c r="D897" s="18">
        <v>0</v>
      </c>
      <c r="E897" s="18">
        <v>0</v>
      </c>
      <c r="J897" s="17"/>
    </row>
    <row r="898" spans="2:10" x14ac:dyDescent="0.25">
      <c r="B898" s="17">
        <f t="shared" si="13"/>
        <v>45903</v>
      </c>
      <c r="D898" s="18">
        <v>0</v>
      </c>
      <c r="E898" s="18">
        <v>0</v>
      </c>
      <c r="J898" s="17"/>
    </row>
    <row r="899" spans="2:10" x14ac:dyDescent="0.25">
      <c r="B899" s="17">
        <f t="shared" si="13"/>
        <v>45904</v>
      </c>
      <c r="D899" s="18">
        <v>0</v>
      </c>
      <c r="E899" s="18">
        <v>0</v>
      </c>
      <c r="J899" s="17"/>
    </row>
    <row r="900" spans="2:10" x14ac:dyDescent="0.25">
      <c r="B900" s="17">
        <f t="shared" si="13"/>
        <v>45905</v>
      </c>
      <c r="D900" s="18">
        <v>0</v>
      </c>
      <c r="E900" s="18">
        <v>0</v>
      </c>
      <c r="J900" s="17"/>
    </row>
    <row r="901" spans="2:10" x14ac:dyDescent="0.25">
      <c r="B901" s="17">
        <f t="shared" si="13"/>
        <v>45906</v>
      </c>
      <c r="D901" s="18">
        <v>0</v>
      </c>
      <c r="E901" s="18">
        <v>0</v>
      </c>
      <c r="J901" s="17"/>
    </row>
    <row r="902" spans="2:10" x14ac:dyDescent="0.25">
      <c r="B902" s="17">
        <f t="shared" si="13"/>
        <v>45907</v>
      </c>
      <c r="D902" s="18">
        <v>0</v>
      </c>
      <c r="E902" s="18">
        <v>0</v>
      </c>
      <c r="J902" s="17"/>
    </row>
    <row r="903" spans="2:10" x14ac:dyDescent="0.25">
      <c r="B903" s="17">
        <f t="shared" si="13"/>
        <v>45908</v>
      </c>
      <c r="D903" s="18">
        <v>0</v>
      </c>
      <c r="E903" s="18">
        <v>0</v>
      </c>
      <c r="J903" s="17"/>
    </row>
    <row r="904" spans="2:10" x14ac:dyDescent="0.25">
      <c r="B904" s="17">
        <f t="shared" si="13"/>
        <v>45909</v>
      </c>
      <c r="D904" s="18">
        <v>0</v>
      </c>
      <c r="E904" s="18">
        <v>0</v>
      </c>
      <c r="J904" s="17"/>
    </row>
    <row r="905" spans="2:10" x14ac:dyDescent="0.25">
      <c r="B905" s="17">
        <f t="shared" si="13"/>
        <v>45910</v>
      </c>
      <c r="D905" s="18">
        <v>0</v>
      </c>
      <c r="E905" s="18">
        <v>0</v>
      </c>
      <c r="J905" s="17"/>
    </row>
    <row r="906" spans="2:10" x14ac:dyDescent="0.25">
      <c r="B906" s="17">
        <f t="shared" si="13"/>
        <v>45911</v>
      </c>
      <c r="D906" s="18">
        <v>0</v>
      </c>
      <c r="E906" s="18">
        <v>0</v>
      </c>
      <c r="J906" s="17"/>
    </row>
    <row r="907" spans="2:10" x14ac:dyDescent="0.25">
      <c r="B907" s="17">
        <f t="shared" si="13"/>
        <v>45912</v>
      </c>
      <c r="D907" s="18">
        <v>0</v>
      </c>
      <c r="E907" s="18">
        <v>0</v>
      </c>
      <c r="J907" s="17"/>
    </row>
    <row r="908" spans="2:10" x14ac:dyDescent="0.25">
      <c r="B908" s="17">
        <f t="shared" si="13"/>
        <v>45913</v>
      </c>
      <c r="D908" s="18">
        <v>0</v>
      </c>
      <c r="E908" s="18">
        <v>0</v>
      </c>
      <c r="J908" s="17"/>
    </row>
    <row r="909" spans="2:10" x14ac:dyDescent="0.25">
      <c r="B909" s="17">
        <f t="shared" si="13"/>
        <v>45914</v>
      </c>
      <c r="D909" s="18">
        <v>0</v>
      </c>
      <c r="E909" s="18">
        <v>0</v>
      </c>
      <c r="J909" s="17"/>
    </row>
    <row r="910" spans="2:10" x14ac:dyDescent="0.25">
      <c r="B910" s="17">
        <f t="shared" ref="B910:B973" si="14">B909+1</f>
        <v>45915</v>
      </c>
      <c r="D910" s="18">
        <v>0</v>
      </c>
      <c r="E910" s="18">
        <v>0</v>
      </c>
      <c r="J910" s="17"/>
    </row>
    <row r="911" spans="2:10" x14ac:dyDescent="0.25">
      <c r="B911" s="17">
        <f t="shared" si="14"/>
        <v>45916</v>
      </c>
      <c r="D911" s="18">
        <v>0</v>
      </c>
      <c r="E911" s="18">
        <v>0</v>
      </c>
      <c r="J911" s="17"/>
    </row>
    <row r="912" spans="2:10" x14ac:dyDescent="0.25">
      <c r="B912" s="17">
        <f t="shared" si="14"/>
        <v>45917</v>
      </c>
      <c r="D912" s="18">
        <v>0</v>
      </c>
      <c r="E912" s="18">
        <v>0</v>
      </c>
      <c r="J912" s="17"/>
    </row>
    <row r="913" spans="2:10" x14ac:dyDescent="0.25">
      <c r="B913" s="17">
        <f t="shared" si="14"/>
        <v>45918</v>
      </c>
      <c r="D913" s="18">
        <v>0</v>
      </c>
      <c r="E913" s="18">
        <v>0</v>
      </c>
      <c r="J913" s="17"/>
    </row>
    <row r="914" spans="2:10" x14ac:dyDescent="0.25">
      <c r="B914" s="17">
        <f t="shared" si="14"/>
        <v>45919</v>
      </c>
      <c r="D914" s="18">
        <v>0</v>
      </c>
      <c r="E914" s="18">
        <v>0</v>
      </c>
      <c r="J914" s="17"/>
    </row>
    <row r="915" spans="2:10" x14ac:dyDescent="0.25">
      <c r="B915" s="17">
        <f t="shared" si="14"/>
        <v>45920</v>
      </c>
      <c r="D915" s="18">
        <v>0</v>
      </c>
      <c r="E915" s="18">
        <v>0</v>
      </c>
      <c r="J915" s="17"/>
    </row>
    <row r="916" spans="2:10" x14ac:dyDescent="0.25">
      <c r="B916" s="17">
        <f t="shared" si="14"/>
        <v>45921</v>
      </c>
      <c r="D916" s="18">
        <v>0</v>
      </c>
      <c r="E916" s="18">
        <v>0</v>
      </c>
      <c r="J916" s="17"/>
    </row>
    <row r="917" spans="2:10" x14ac:dyDescent="0.25">
      <c r="B917" s="17">
        <f t="shared" si="14"/>
        <v>45922</v>
      </c>
      <c r="D917" s="18">
        <v>0</v>
      </c>
      <c r="E917" s="18">
        <v>0</v>
      </c>
      <c r="J917" s="17"/>
    </row>
    <row r="918" spans="2:10" x14ac:dyDescent="0.25">
      <c r="B918" s="17">
        <f t="shared" si="14"/>
        <v>45923</v>
      </c>
      <c r="D918" s="18">
        <v>0</v>
      </c>
      <c r="E918" s="18">
        <v>0</v>
      </c>
      <c r="J918" s="17"/>
    </row>
    <row r="919" spans="2:10" x14ac:dyDescent="0.25">
      <c r="B919" s="17">
        <f t="shared" si="14"/>
        <v>45924</v>
      </c>
      <c r="D919" s="18">
        <v>0</v>
      </c>
      <c r="E919" s="18">
        <v>0</v>
      </c>
      <c r="J919" s="17"/>
    </row>
    <row r="920" spans="2:10" x14ac:dyDescent="0.25">
      <c r="B920" s="17">
        <f t="shared" si="14"/>
        <v>45925</v>
      </c>
      <c r="D920" s="18">
        <v>0</v>
      </c>
      <c r="E920" s="18">
        <v>0</v>
      </c>
      <c r="J920" s="17"/>
    </row>
    <row r="921" spans="2:10" x14ac:dyDescent="0.25">
      <c r="B921" s="17">
        <f t="shared" si="14"/>
        <v>45926</v>
      </c>
      <c r="D921" s="18">
        <v>0</v>
      </c>
      <c r="E921" s="18">
        <v>0</v>
      </c>
      <c r="J921" s="17"/>
    </row>
    <row r="922" spans="2:10" x14ac:dyDescent="0.25">
      <c r="B922" s="17">
        <f t="shared" si="14"/>
        <v>45927</v>
      </c>
      <c r="D922" s="18">
        <v>0</v>
      </c>
      <c r="E922" s="18">
        <v>0</v>
      </c>
      <c r="J922" s="17"/>
    </row>
    <row r="923" spans="2:10" x14ac:dyDescent="0.25">
      <c r="B923" s="17">
        <f t="shared" si="14"/>
        <v>45928</v>
      </c>
      <c r="D923" s="18">
        <v>0</v>
      </c>
      <c r="E923" s="18">
        <v>0</v>
      </c>
      <c r="J923" s="17"/>
    </row>
    <row r="924" spans="2:10" x14ac:dyDescent="0.25">
      <c r="B924" s="17">
        <f t="shared" si="14"/>
        <v>45929</v>
      </c>
      <c r="D924" s="18">
        <v>0</v>
      </c>
      <c r="E924" s="18">
        <v>0</v>
      </c>
      <c r="J924" s="17"/>
    </row>
    <row r="925" spans="2:10" x14ac:dyDescent="0.25">
      <c r="B925" s="17">
        <f t="shared" si="14"/>
        <v>45930</v>
      </c>
      <c r="D925" s="18">
        <v>0</v>
      </c>
      <c r="E925" s="18">
        <v>0</v>
      </c>
      <c r="J925" s="17"/>
    </row>
    <row r="926" spans="2:10" x14ac:dyDescent="0.25">
      <c r="B926" s="17">
        <f t="shared" si="14"/>
        <v>45931</v>
      </c>
      <c r="D926" s="18">
        <v>0</v>
      </c>
      <c r="E926" s="18">
        <v>0</v>
      </c>
      <c r="J926" s="17"/>
    </row>
    <row r="927" spans="2:10" x14ac:dyDescent="0.25">
      <c r="B927" s="17">
        <f t="shared" si="14"/>
        <v>45932</v>
      </c>
      <c r="D927" s="18">
        <v>0</v>
      </c>
      <c r="E927" s="18">
        <v>0</v>
      </c>
      <c r="J927" s="17"/>
    </row>
    <row r="928" spans="2:10" x14ac:dyDescent="0.25">
      <c r="B928" s="17">
        <f t="shared" si="14"/>
        <v>45933</v>
      </c>
      <c r="D928" s="18">
        <v>0</v>
      </c>
      <c r="E928" s="18">
        <v>0</v>
      </c>
      <c r="J928" s="17"/>
    </row>
    <row r="929" spans="2:10" x14ac:dyDescent="0.25">
      <c r="B929" s="17">
        <f t="shared" si="14"/>
        <v>45934</v>
      </c>
      <c r="D929" s="18">
        <v>0</v>
      </c>
      <c r="E929" s="18">
        <v>0</v>
      </c>
      <c r="J929" s="17"/>
    </row>
    <row r="930" spans="2:10" x14ac:dyDescent="0.25">
      <c r="B930" s="17">
        <f t="shared" si="14"/>
        <v>45935</v>
      </c>
      <c r="D930" s="18">
        <v>0</v>
      </c>
      <c r="E930" s="18">
        <v>0</v>
      </c>
      <c r="J930" s="17"/>
    </row>
    <row r="931" spans="2:10" x14ac:dyDescent="0.25">
      <c r="B931" s="17">
        <f t="shared" si="14"/>
        <v>45936</v>
      </c>
      <c r="D931" s="18">
        <v>0</v>
      </c>
      <c r="E931" s="18">
        <v>0</v>
      </c>
      <c r="J931" s="17"/>
    </row>
    <row r="932" spans="2:10" x14ac:dyDescent="0.25">
      <c r="B932" s="17">
        <f t="shared" si="14"/>
        <v>45937</v>
      </c>
      <c r="D932" s="18">
        <v>0</v>
      </c>
      <c r="E932" s="18">
        <v>0</v>
      </c>
      <c r="J932" s="17"/>
    </row>
    <row r="933" spans="2:10" x14ac:dyDescent="0.25">
      <c r="B933" s="17">
        <f t="shared" si="14"/>
        <v>45938</v>
      </c>
      <c r="D933" s="18">
        <v>0</v>
      </c>
      <c r="E933" s="18">
        <v>0</v>
      </c>
      <c r="J933" s="17"/>
    </row>
    <row r="934" spans="2:10" x14ac:dyDescent="0.25">
      <c r="B934" s="17">
        <f t="shared" si="14"/>
        <v>45939</v>
      </c>
      <c r="D934" s="18">
        <v>0</v>
      </c>
      <c r="E934" s="18">
        <v>0</v>
      </c>
      <c r="J934" s="17"/>
    </row>
    <row r="935" spans="2:10" x14ac:dyDescent="0.25">
      <c r="B935" s="17">
        <f t="shared" si="14"/>
        <v>45940</v>
      </c>
      <c r="D935" s="18">
        <f>-'NAV Walk tab'!F6</f>
        <v>-25000</v>
      </c>
      <c r="E935" s="18">
        <f>-'NAV Walk tab'!F7</f>
        <v>-25000</v>
      </c>
      <c r="F935" t="s">
        <v>86</v>
      </c>
    </row>
    <row r="936" spans="2:10" x14ac:dyDescent="0.25">
      <c r="B936" s="17">
        <f t="shared" si="14"/>
        <v>45941</v>
      </c>
      <c r="D936" s="18">
        <v>0</v>
      </c>
      <c r="E936" s="18">
        <v>0</v>
      </c>
    </row>
    <row r="937" spans="2:10" x14ac:dyDescent="0.25">
      <c r="B937" s="17">
        <f t="shared" si="14"/>
        <v>45942</v>
      </c>
      <c r="D937" s="18">
        <v>0</v>
      </c>
      <c r="E937" s="18">
        <v>0</v>
      </c>
    </row>
    <row r="938" spans="2:10" x14ac:dyDescent="0.25">
      <c r="B938" s="17">
        <f t="shared" si="14"/>
        <v>45943</v>
      </c>
      <c r="D938" s="18">
        <v>0</v>
      </c>
      <c r="E938" s="18">
        <v>0</v>
      </c>
    </row>
    <row r="939" spans="2:10" x14ac:dyDescent="0.25">
      <c r="B939" s="17">
        <f t="shared" si="14"/>
        <v>45944</v>
      </c>
      <c r="D939" s="18">
        <v>0</v>
      </c>
      <c r="E939" s="18">
        <v>0</v>
      </c>
    </row>
    <row r="940" spans="2:10" x14ac:dyDescent="0.25">
      <c r="B940" s="17">
        <f t="shared" si="14"/>
        <v>45945</v>
      </c>
      <c r="D940" s="18">
        <v>0</v>
      </c>
      <c r="E940" s="18">
        <v>0</v>
      </c>
    </row>
    <row r="941" spans="2:10" x14ac:dyDescent="0.25">
      <c r="B941" s="17">
        <f t="shared" si="14"/>
        <v>45946</v>
      </c>
      <c r="D941" s="18">
        <v>0</v>
      </c>
      <c r="E941" s="18">
        <v>0</v>
      </c>
    </row>
    <row r="942" spans="2:10" x14ac:dyDescent="0.25">
      <c r="B942" s="17">
        <f t="shared" si="14"/>
        <v>45947</v>
      </c>
      <c r="D942" s="18">
        <v>0</v>
      </c>
      <c r="E942" s="18">
        <v>0</v>
      </c>
    </row>
    <row r="943" spans="2:10" x14ac:dyDescent="0.25">
      <c r="B943" s="17">
        <f t="shared" si="14"/>
        <v>45948</v>
      </c>
      <c r="D943" s="18">
        <v>0</v>
      </c>
      <c r="E943" s="18">
        <v>0</v>
      </c>
    </row>
    <row r="944" spans="2:10" x14ac:dyDescent="0.25">
      <c r="B944" s="17">
        <f t="shared" si="14"/>
        <v>45949</v>
      </c>
      <c r="D944" s="18">
        <v>0</v>
      </c>
      <c r="E944" s="18">
        <v>0</v>
      </c>
    </row>
    <row r="945" spans="2:5" x14ac:dyDescent="0.25">
      <c r="B945" s="17">
        <f t="shared" si="14"/>
        <v>45950</v>
      </c>
      <c r="D945" s="18">
        <v>0</v>
      </c>
      <c r="E945" s="18">
        <v>0</v>
      </c>
    </row>
    <row r="946" spans="2:5" x14ac:dyDescent="0.25">
      <c r="B946" s="17">
        <f t="shared" si="14"/>
        <v>45951</v>
      </c>
      <c r="D946" s="18">
        <v>0</v>
      </c>
      <c r="E946" s="18">
        <v>0</v>
      </c>
    </row>
    <row r="947" spans="2:5" x14ac:dyDescent="0.25">
      <c r="B947" s="17">
        <f t="shared" si="14"/>
        <v>45952</v>
      </c>
      <c r="D947" s="18">
        <v>0</v>
      </c>
      <c r="E947" s="18">
        <v>0</v>
      </c>
    </row>
    <row r="948" spans="2:5" x14ac:dyDescent="0.25">
      <c r="B948" s="17">
        <f t="shared" si="14"/>
        <v>45953</v>
      </c>
      <c r="D948" s="18">
        <v>0</v>
      </c>
      <c r="E948" s="18">
        <v>0</v>
      </c>
    </row>
    <row r="949" spans="2:5" x14ac:dyDescent="0.25">
      <c r="B949" s="17">
        <f t="shared" si="14"/>
        <v>45954</v>
      </c>
      <c r="D949" s="18">
        <v>0</v>
      </c>
      <c r="E949" s="18">
        <v>0</v>
      </c>
    </row>
    <row r="950" spans="2:5" x14ac:dyDescent="0.25">
      <c r="B950" s="17">
        <f t="shared" si="14"/>
        <v>45955</v>
      </c>
      <c r="D950" s="18">
        <v>0</v>
      </c>
      <c r="E950" s="18">
        <v>0</v>
      </c>
    </row>
    <row r="951" spans="2:5" x14ac:dyDescent="0.25">
      <c r="B951" s="17">
        <f t="shared" si="14"/>
        <v>45956</v>
      </c>
      <c r="D951" s="18">
        <v>0</v>
      </c>
      <c r="E951" s="18">
        <v>0</v>
      </c>
    </row>
    <row r="952" spans="2:5" x14ac:dyDescent="0.25">
      <c r="B952" s="17">
        <f t="shared" si="14"/>
        <v>45957</v>
      </c>
      <c r="D952" s="18">
        <v>0</v>
      </c>
      <c r="E952" s="18">
        <v>0</v>
      </c>
    </row>
    <row r="953" spans="2:5" x14ac:dyDescent="0.25">
      <c r="B953" s="17">
        <f t="shared" si="14"/>
        <v>45958</v>
      </c>
      <c r="D953" s="18">
        <v>0</v>
      </c>
      <c r="E953" s="18">
        <v>0</v>
      </c>
    </row>
    <row r="954" spans="2:5" x14ac:dyDescent="0.25">
      <c r="B954" s="17">
        <f t="shared" si="14"/>
        <v>45959</v>
      </c>
      <c r="D954" s="18">
        <v>0</v>
      </c>
      <c r="E954" s="18">
        <v>0</v>
      </c>
    </row>
    <row r="955" spans="2:5" x14ac:dyDescent="0.25">
      <c r="B955" s="17">
        <f t="shared" si="14"/>
        <v>45960</v>
      </c>
      <c r="D955" s="18">
        <v>0</v>
      </c>
      <c r="E955" s="18">
        <v>0</v>
      </c>
    </row>
    <row r="956" spans="2:5" x14ac:dyDescent="0.25">
      <c r="B956" s="17">
        <f t="shared" si="14"/>
        <v>45961</v>
      </c>
      <c r="D956" s="18">
        <v>0</v>
      </c>
      <c r="E956" s="18">
        <v>0</v>
      </c>
    </row>
    <row r="957" spans="2:5" x14ac:dyDescent="0.25">
      <c r="B957" s="17">
        <f t="shared" si="14"/>
        <v>45962</v>
      </c>
      <c r="D957" s="18">
        <v>0</v>
      </c>
      <c r="E957" s="18">
        <v>0</v>
      </c>
    </row>
    <row r="958" spans="2:5" x14ac:dyDescent="0.25">
      <c r="B958" s="17">
        <f t="shared" si="14"/>
        <v>45963</v>
      </c>
      <c r="D958" s="18">
        <v>0</v>
      </c>
      <c r="E958" s="18">
        <v>0</v>
      </c>
    </row>
    <row r="959" spans="2:5" x14ac:dyDescent="0.25">
      <c r="B959" s="17">
        <f t="shared" si="14"/>
        <v>45964</v>
      </c>
      <c r="D959" s="18">
        <v>0</v>
      </c>
      <c r="E959" s="18">
        <v>0</v>
      </c>
    </row>
    <row r="960" spans="2:5" x14ac:dyDescent="0.25">
      <c r="B960" s="17">
        <f t="shared" si="14"/>
        <v>45965</v>
      </c>
      <c r="D960" s="18">
        <v>0</v>
      </c>
      <c r="E960" s="18">
        <v>0</v>
      </c>
    </row>
    <row r="961" spans="2:5" x14ac:dyDescent="0.25">
      <c r="B961" s="17">
        <f t="shared" si="14"/>
        <v>45966</v>
      </c>
      <c r="D961" s="18">
        <v>0</v>
      </c>
      <c r="E961" s="18">
        <v>0</v>
      </c>
    </row>
    <row r="962" spans="2:5" x14ac:dyDescent="0.25">
      <c r="B962" s="17">
        <f t="shared" si="14"/>
        <v>45967</v>
      </c>
      <c r="D962" s="18">
        <v>0</v>
      </c>
      <c r="E962" s="18">
        <v>0</v>
      </c>
    </row>
    <row r="963" spans="2:5" x14ac:dyDescent="0.25">
      <c r="B963" s="17">
        <f t="shared" si="14"/>
        <v>45968</v>
      </c>
      <c r="D963" s="18">
        <v>0</v>
      </c>
      <c r="E963" s="18">
        <v>0</v>
      </c>
    </row>
    <row r="964" spans="2:5" x14ac:dyDescent="0.25">
      <c r="B964" s="17">
        <f t="shared" si="14"/>
        <v>45969</v>
      </c>
      <c r="D964" s="18">
        <v>0</v>
      </c>
      <c r="E964" s="18">
        <v>0</v>
      </c>
    </row>
    <row r="965" spans="2:5" x14ac:dyDescent="0.25">
      <c r="B965" s="17">
        <f t="shared" si="14"/>
        <v>45970</v>
      </c>
      <c r="D965" s="18">
        <v>0</v>
      </c>
      <c r="E965" s="18">
        <v>0</v>
      </c>
    </row>
    <row r="966" spans="2:5" x14ac:dyDescent="0.25">
      <c r="B966" s="17">
        <f t="shared" si="14"/>
        <v>45971</v>
      </c>
      <c r="D966" s="18">
        <v>0</v>
      </c>
      <c r="E966" s="18">
        <v>0</v>
      </c>
    </row>
    <row r="967" spans="2:5" x14ac:dyDescent="0.25">
      <c r="B967" s="17">
        <f t="shared" si="14"/>
        <v>45972</v>
      </c>
      <c r="D967" s="18">
        <v>0</v>
      </c>
      <c r="E967" s="18">
        <v>0</v>
      </c>
    </row>
    <row r="968" spans="2:5" x14ac:dyDescent="0.25">
      <c r="B968" s="17">
        <f t="shared" si="14"/>
        <v>45973</v>
      </c>
      <c r="D968" s="18">
        <v>0</v>
      </c>
      <c r="E968" s="18">
        <v>0</v>
      </c>
    </row>
    <row r="969" spans="2:5" x14ac:dyDescent="0.25">
      <c r="B969" s="17">
        <f t="shared" si="14"/>
        <v>45974</v>
      </c>
      <c r="D969" s="18">
        <v>0</v>
      </c>
      <c r="E969" s="18">
        <v>0</v>
      </c>
    </row>
    <row r="970" spans="2:5" x14ac:dyDescent="0.25">
      <c r="B970" s="17">
        <f t="shared" si="14"/>
        <v>45975</v>
      </c>
      <c r="D970" s="18">
        <v>0</v>
      </c>
      <c r="E970" s="18">
        <v>0</v>
      </c>
    </row>
    <row r="971" spans="2:5" x14ac:dyDescent="0.25">
      <c r="B971" s="17">
        <f t="shared" si="14"/>
        <v>45976</v>
      </c>
      <c r="D971" s="18">
        <v>0</v>
      </c>
      <c r="E971" s="18">
        <v>0</v>
      </c>
    </row>
    <row r="972" spans="2:5" x14ac:dyDescent="0.25">
      <c r="B972" s="17">
        <f t="shared" si="14"/>
        <v>45977</v>
      </c>
      <c r="D972" s="18">
        <v>0</v>
      </c>
      <c r="E972" s="18">
        <v>0</v>
      </c>
    </row>
    <row r="973" spans="2:5" x14ac:dyDescent="0.25">
      <c r="B973" s="17">
        <f t="shared" si="14"/>
        <v>45978</v>
      </c>
      <c r="D973" s="18">
        <v>0</v>
      </c>
      <c r="E973" s="18">
        <v>0</v>
      </c>
    </row>
    <row r="974" spans="2:5" x14ac:dyDescent="0.25">
      <c r="B974" s="17">
        <f t="shared" ref="B974:B1017" si="15">B973+1</f>
        <v>45979</v>
      </c>
      <c r="D974" s="18">
        <v>0</v>
      </c>
      <c r="E974" s="18">
        <v>0</v>
      </c>
    </row>
    <row r="975" spans="2:5" x14ac:dyDescent="0.25">
      <c r="B975" s="17">
        <f t="shared" si="15"/>
        <v>45980</v>
      </c>
      <c r="D975" s="18">
        <v>0</v>
      </c>
      <c r="E975" s="18">
        <v>0</v>
      </c>
    </row>
    <row r="976" spans="2:5" x14ac:dyDescent="0.25">
      <c r="B976" s="17">
        <f t="shared" si="15"/>
        <v>45981</v>
      </c>
      <c r="D976" s="18">
        <v>0</v>
      </c>
      <c r="E976" s="18">
        <v>0</v>
      </c>
    </row>
    <row r="977" spans="2:5" x14ac:dyDescent="0.25">
      <c r="B977" s="17">
        <f t="shared" si="15"/>
        <v>45982</v>
      </c>
      <c r="D977" s="18">
        <v>0</v>
      </c>
      <c r="E977" s="18">
        <v>0</v>
      </c>
    </row>
    <row r="978" spans="2:5" x14ac:dyDescent="0.25">
      <c r="B978" s="17">
        <f t="shared" si="15"/>
        <v>45983</v>
      </c>
      <c r="D978" s="18">
        <v>0</v>
      </c>
      <c r="E978" s="18">
        <v>0</v>
      </c>
    </row>
    <row r="979" spans="2:5" x14ac:dyDescent="0.25">
      <c r="B979" s="17">
        <f t="shared" si="15"/>
        <v>45984</v>
      </c>
      <c r="D979" s="18">
        <v>0</v>
      </c>
      <c r="E979" s="18">
        <v>0</v>
      </c>
    </row>
    <row r="980" spans="2:5" x14ac:dyDescent="0.25">
      <c r="B980" s="17">
        <f t="shared" si="15"/>
        <v>45985</v>
      </c>
      <c r="D980" s="18">
        <v>0</v>
      </c>
      <c r="E980" s="18">
        <v>0</v>
      </c>
    </row>
    <row r="981" spans="2:5" x14ac:dyDescent="0.25">
      <c r="B981" s="17">
        <f t="shared" si="15"/>
        <v>45986</v>
      </c>
      <c r="D981" s="18">
        <v>0</v>
      </c>
      <c r="E981" s="18">
        <v>0</v>
      </c>
    </row>
    <row r="982" spans="2:5" x14ac:dyDescent="0.25">
      <c r="B982" s="17">
        <f t="shared" si="15"/>
        <v>45987</v>
      </c>
      <c r="D982" s="18">
        <v>0</v>
      </c>
      <c r="E982" s="18">
        <v>0</v>
      </c>
    </row>
    <row r="983" spans="2:5" x14ac:dyDescent="0.25">
      <c r="B983" s="17">
        <f t="shared" si="15"/>
        <v>45988</v>
      </c>
      <c r="D983" s="18">
        <v>0</v>
      </c>
      <c r="E983" s="18">
        <v>0</v>
      </c>
    </row>
    <row r="984" spans="2:5" x14ac:dyDescent="0.25">
      <c r="B984" s="17">
        <f t="shared" si="15"/>
        <v>45989</v>
      </c>
      <c r="D984" s="18">
        <v>0</v>
      </c>
      <c r="E984" s="18">
        <v>0</v>
      </c>
    </row>
    <row r="985" spans="2:5" x14ac:dyDescent="0.25">
      <c r="B985" s="17">
        <f t="shared" si="15"/>
        <v>45990</v>
      </c>
      <c r="D985" s="18">
        <v>0</v>
      </c>
      <c r="E985" s="18">
        <v>0</v>
      </c>
    </row>
    <row r="986" spans="2:5" x14ac:dyDescent="0.25">
      <c r="B986" s="17">
        <f t="shared" si="15"/>
        <v>45991</v>
      </c>
      <c r="D986" s="18">
        <v>0</v>
      </c>
      <c r="E986" s="18">
        <v>0</v>
      </c>
    </row>
    <row r="987" spans="2:5" x14ac:dyDescent="0.25">
      <c r="B987" s="17">
        <f t="shared" si="15"/>
        <v>45992</v>
      </c>
      <c r="D987" s="18">
        <v>0</v>
      </c>
      <c r="E987" s="18">
        <v>0</v>
      </c>
    </row>
    <row r="988" spans="2:5" x14ac:dyDescent="0.25">
      <c r="B988" s="17">
        <f t="shared" si="15"/>
        <v>45993</v>
      </c>
      <c r="D988" s="18">
        <v>0</v>
      </c>
      <c r="E988" s="18">
        <v>0</v>
      </c>
    </row>
    <row r="989" spans="2:5" x14ac:dyDescent="0.25">
      <c r="B989" s="17">
        <f t="shared" si="15"/>
        <v>45994</v>
      </c>
      <c r="D989" s="18">
        <v>0</v>
      </c>
      <c r="E989" s="18">
        <v>0</v>
      </c>
    </row>
    <row r="990" spans="2:5" x14ac:dyDescent="0.25">
      <c r="B990" s="17">
        <f t="shared" si="15"/>
        <v>45995</v>
      </c>
      <c r="D990" s="18">
        <v>0</v>
      </c>
      <c r="E990" s="18">
        <v>0</v>
      </c>
    </row>
    <row r="991" spans="2:5" x14ac:dyDescent="0.25">
      <c r="B991" s="17">
        <f t="shared" si="15"/>
        <v>45996</v>
      </c>
      <c r="D991" s="18">
        <v>0</v>
      </c>
      <c r="E991" s="18">
        <v>0</v>
      </c>
    </row>
    <row r="992" spans="2:5" x14ac:dyDescent="0.25">
      <c r="B992" s="17">
        <f t="shared" si="15"/>
        <v>45997</v>
      </c>
      <c r="D992" s="18">
        <v>0</v>
      </c>
      <c r="E992" s="18">
        <v>0</v>
      </c>
    </row>
    <row r="993" spans="2:6" x14ac:dyDescent="0.25">
      <c r="B993" s="17">
        <f t="shared" si="15"/>
        <v>45998</v>
      </c>
      <c r="D993" s="18">
        <v>0</v>
      </c>
      <c r="E993" s="18">
        <v>0</v>
      </c>
    </row>
    <row r="994" spans="2:6" x14ac:dyDescent="0.25">
      <c r="B994" s="17">
        <f t="shared" si="15"/>
        <v>45999</v>
      </c>
      <c r="D994" s="18">
        <v>0</v>
      </c>
      <c r="E994" s="18">
        <v>0</v>
      </c>
    </row>
    <row r="995" spans="2:6" x14ac:dyDescent="0.25">
      <c r="B995" s="17">
        <f t="shared" si="15"/>
        <v>46000</v>
      </c>
      <c r="D995" s="18">
        <v>0</v>
      </c>
      <c r="E995" s="18">
        <v>0</v>
      </c>
    </row>
    <row r="996" spans="2:6" x14ac:dyDescent="0.25">
      <c r="B996" s="17">
        <f t="shared" si="15"/>
        <v>46001</v>
      </c>
      <c r="D996" s="18">
        <v>0</v>
      </c>
      <c r="E996" s="18">
        <v>0</v>
      </c>
    </row>
    <row r="997" spans="2:6" x14ac:dyDescent="0.25">
      <c r="B997" s="17">
        <f t="shared" si="15"/>
        <v>46002</v>
      </c>
      <c r="D997" s="18">
        <v>0</v>
      </c>
      <c r="E997" s="18">
        <v>0</v>
      </c>
    </row>
    <row r="998" spans="2:6" x14ac:dyDescent="0.25">
      <c r="B998" s="17">
        <f t="shared" si="15"/>
        <v>46003</v>
      </c>
      <c r="D998" s="18">
        <v>0</v>
      </c>
      <c r="E998" s="18">
        <v>0</v>
      </c>
    </row>
    <row r="999" spans="2:6" x14ac:dyDescent="0.25">
      <c r="B999" s="17">
        <f t="shared" si="15"/>
        <v>46004</v>
      </c>
      <c r="D999" s="18">
        <v>0</v>
      </c>
      <c r="E999" s="18">
        <v>0</v>
      </c>
    </row>
    <row r="1000" spans="2:6" x14ac:dyDescent="0.25">
      <c r="B1000" s="17">
        <f t="shared" si="15"/>
        <v>46005</v>
      </c>
      <c r="D1000" s="18">
        <v>0</v>
      </c>
      <c r="E1000" s="18">
        <v>0</v>
      </c>
    </row>
    <row r="1001" spans="2:6" x14ac:dyDescent="0.25">
      <c r="B1001" s="17">
        <f t="shared" si="15"/>
        <v>46006</v>
      </c>
      <c r="D1001" s="18">
        <f>'NAV Walk tab'!H6</f>
        <v>5000</v>
      </c>
      <c r="E1001" s="18">
        <f>'NAV Walk tab'!H7</f>
        <v>5000</v>
      </c>
      <c r="F1001" t="s">
        <v>86</v>
      </c>
    </row>
    <row r="1002" spans="2:6" x14ac:dyDescent="0.25">
      <c r="B1002" s="17">
        <f t="shared" si="15"/>
        <v>46007</v>
      </c>
      <c r="D1002" s="18">
        <v>0</v>
      </c>
      <c r="E1002" s="18">
        <v>0</v>
      </c>
    </row>
    <row r="1003" spans="2:6" x14ac:dyDescent="0.25">
      <c r="B1003" s="17">
        <f t="shared" si="15"/>
        <v>46008</v>
      </c>
      <c r="D1003" s="18">
        <v>0</v>
      </c>
      <c r="E1003" s="18">
        <v>0</v>
      </c>
    </row>
    <row r="1004" spans="2:6" x14ac:dyDescent="0.25">
      <c r="B1004" s="17">
        <f t="shared" si="15"/>
        <v>46009</v>
      </c>
      <c r="D1004" s="18">
        <v>0</v>
      </c>
      <c r="E1004" s="18">
        <v>0</v>
      </c>
    </row>
    <row r="1005" spans="2:6" x14ac:dyDescent="0.25">
      <c r="B1005" s="17">
        <f t="shared" si="15"/>
        <v>46010</v>
      </c>
      <c r="D1005" s="18">
        <v>0</v>
      </c>
      <c r="E1005" s="18">
        <v>0</v>
      </c>
    </row>
    <row r="1006" spans="2:6" x14ac:dyDescent="0.25">
      <c r="B1006" s="17">
        <f t="shared" si="15"/>
        <v>46011</v>
      </c>
      <c r="D1006" s="18">
        <v>0</v>
      </c>
      <c r="E1006" s="18">
        <v>0</v>
      </c>
    </row>
    <row r="1007" spans="2:6" x14ac:dyDescent="0.25">
      <c r="B1007" s="17">
        <f t="shared" si="15"/>
        <v>46012</v>
      </c>
      <c r="D1007" s="18">
        <v>0</v>
      </c>
      <c r="E1007" s="18">
        <v>0</v>
      </c>
    </row>
    <row r="1008" spans="2:6" x14ac:dyDescent="0.25">
      <c r="B1008" s="17">
        <f t="shared" si="15"/>
        <v>46013</v>
      </c>
      <c r="D1008" s="18">
        <v>0</v>
      </c>
      <c r="E1008" s="18">
        <v>0</v>
      </c>
    </row>
    <row r="1009" spans="2:5" x14ac:dyDescent="0.25">
      <c r="B1009" s="17">
        <f t="shared" si="15"/>
        <v>46014</v>
      </c>
      <c r="D1009" s="18">
        <v>0</v>
      </c>
      <c r="E1009" s="18">
        <v>0</v>
      </c>
    </row>
    <row r="1010" spans="2:5" x14ac:dyDescent="0.25">
      <c r="B1010" s="17">
        <f t="shared" si="15"/>
        <v>46015</v>
      </c>
      <c r="D1010" s="18">
        <v>0</v>
      </c>
      <c r="E1010" s="18">
        <v>0</v>
      </c>
    </row>
    <row r="1011" spans="2:5" x14ac:dyDescent="0.25">
      <c r="B1011" s="17">
        <f t="shared" si="15"/>
        <v>46016</v>
      </c>
      <c r="D1011" s="18">
        <v>0</v>
      </c>
      <c r="E1011" s="18">
        <v>0</v>
      </c>
    </row>
    <row r="1012" spans="2:5" x14ac:dyDescent="0.25">
      <c r="B1012" s="17">
        <f t="shared" si="15"/>
        <v>46017</v>
      </c>
      <c r="D1012" s="18">
        <v>0</v>
      </c>
      <c r="E1012" s="18">
        <v>0</v>
      </c>
    </row>
    <row r="1013" spans="2:5" x14ac:dyDescent="0.25">
      <c r="B1013" s="17">
        <f t="shared" si="15"/>
        <v>46018</v>
      </c>
      <c r="D1013" s="18">
        <v>0</v>
      </c>
      <c r="E1013" s="18">
        <v>0</v>
      </c>
    </row>
    <row r="1014" spans="2:5" x14ac:dyDescent="0.25">
      <c r="B1014" s="17">
        <f t="shared" si="15"/>
        <v>46019</v>
      </c>
      <c r="D1014" s="18">
        <v>0</v>
      </c>
      <c r="E1014" s="18">
        <v>0</v>
      </c>
    </row>
    <row r="1015" spans="2:5" x14ac:dyDescent="0.25">
      <c r="B1015" s="17">
        <f t="shared" si="15"/>
        <v>46020</v>
      </c>
      <c r="D1015" s="18">
        <v>0</v>
      </c>
      <c r="E1015" s="18">
        <v>0</v>
      </c>
    </row>
    <row r="1016" spans="2:5" x14ac:dyDescent="0.25">
      <c r="B1016" s="17">
        <f t="shared" si="15"/>
        <v>46021</v>
      </c>
      <c r="D1016" s="18">
        <v>0</v>
      </c>
      <c r="E1016" s="18">
        <v>0</v>
      </c>
    </row>
    <row r="1017" spans="2:5" x14ac:dyDescent="0.25">
      <c r="B1017" s="17">
        <f t="shared" si="15"/>
        <v>46022</v>
      </c>
      <c r="D1017" s="18">
        <v>0</v>
      </c>
      <c r="E1017" s="18">
        <v>0</v>
      </c>
    </row>
    <row r="1018" spans="2:5" x14ac:dyDescent="0.25">
      <c r="B1018" s="17"/>
      <c r="D1018" s="18"/>
      <c r="E1018" s="18"/>
    </row>
    <row r="1019" spans="2:5" x14ac:dyDescent="0.25">
      <c r="B1019" s="17"/>
      <c r="D1019" s="18"/>
      <c r="E1019" s="18"/>
    </row>
    <row r="1020" spans="2:5" x14ac:dyDescent="0.25">
      <c r="B1020" s="17">
        <v>46022</v>
      </c>
      <c r="C1020" t="s">
        <v>83</v>
      </c>
      <c r="D1020" s="18">
        <f>SUMIFS('NAV Walk tab'!$L:$L,'NAV Walk tab'!$C:$C,'Returns Calculations'!$D$8,'NAV Walk tab'!$D:$D,'Returns Calculations'!D$7)</f>
        <v>500000</v>
      </c>
      <c r="E1020" s="18">
        <f>SUMIFS('NAV Walk tab'!$L:$L,'NAV Walk tab'!$C:$C,'Returns Calculations'!$D$8,'NAV Walk tab'!$D:$D,'Returns Calculations'!E$7)</f>
        <v>500000</v>
      </c>
    </row>
    <row r="1021" spans="2:5" x14ac:dyDescent="0.25">
      <c r="B1021" s="17"/>
    </row>
    <row r="1022" spans="2:5" x14ac:dyDescent="0.25">
      <c r="B1022" s="17"/>
    </row>
    <row r="1023" spans="2:5" x14ac:dyDescent="0.25">
      <c r="B1023" s="17"/>
    </row>
    <row r="1024" spans="2:5" x14ac:dyDescent="0.25">
      <c r="B1024" s="17"/>
    </row>
    <row r="1025" spans="2:2" x14ac:dyDescent="0.25">
      <c r="B1025" s="17"/>
    </row>
    <row r="1026" spans="2:2" x14ac:dyDescent="0.25">
      <c r="B1026" s="17"/>
    </row>
    <row r="1027" spans="2:2" x14ac:dyDescent="0.25">
      <c r="B1027" s="17"/>
    </row>
    <row r="1028" spans="2:2" x14ac:dyDescent="0.25">
      <c r="B1028" s="17"/>
    </row>
    <row r="1029" spans="2:2" x14ac:dyDescent="0.25">
      <c r="B1029" s="17"/>
    </row>
    <row r="1030" spans="2:2" x14ac:dyDescent="0.25">
      <c r="B1030" s="17"/>
    </row>
    <row r="1031" spans="2:2" x14ac:dyDescent="0.25">
      <c r="B1031" s="17"/>
    </row>
    <row r="1032" spans="2:2" x14ac:dyDescent="0.25">
      <c r="B1032" s="17"/>
    </row>
    <row r="1033" spans="2:2" x14ac:dyDescent="0.25">
      <c r="B1033" s="17"/>
    </row>
    <row r="1034" spans="2:2" x14ac:dyDescent="0.25">
      <c r="B1034" s="17"/>
    </row>
    <row r="1035" spans="2:2" x14ac:dyDescent="0.25">
      <c r="B1035" s="17"/>
    </row>
    <row r="1036" spans="2:2" x14ac:dyDescent="0.25">
      <c r="B1036" s="17"/>
    </row>
    <row r="1037" spans="2:2" x14ac:dyDescent="0.25">
      <c r="B1037" s="17"/>
    </row>
    <row r="1038" spans="2:2" x14ac:dyDescent="0.25">
      <c r="B1038" s="17"/>
    </row>
    <row r="1039" spans="2:2" x14ac:dyDescent="0.25">
      <c r="B1039" s="17"/>
    </row>
    <row r="1040" spans="2:2" x14ac:dyDescent="0.25">
      <c r="B1040" s="17"/>
    </row>
    <row r="1041" spans="2:2" x14ac:dyDescent="0.25">
      <c r="B1041" s="17"/>
    </row>
    <row r="1042" spans="2:2" x14ac:dyDescent="0.25">
      <c r="B1042" s="17"/>
    </row>
    <row r="1043" spans="2:2" x14ac:dyDescent="0.25">
      <c r="B1043" s="17"/>
    </row>
    <row r="1044" spans="2:2" x14ac:dyDescent="0.25">
      <c r="B1044" s="17"/>
    </row>
    <row r="1045" spans="2:2" x14ac:dyDescent="0.25">
      <c r="B1045" s="17"/>
    </row>
    <row r="1046" spans="2:2" x14ac:dyDescent="0.25">
      <c r="B1046" s="17"/>
    </row>
    <row r="1047" spans="2:2" x14ac:dyDescent="0.25">
      <c r="B1047" s="17"/>
    </row>
    <row r="1048" spans="2:2" x14ac:dyDescent="0.25">
      <c r="B1048" s="17"/>
    </row>
    <row r="1049" spans="2:2" x14ac:dyDescent="0.25">
      <c r="B1049" s="17"/>
    </row>
    <row r="1050" spans="2:2" x14ac:dyDescent="0.25">
      <c r="B1050"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Important Note</vt:lpstr>
      <vt:lpstr>Input tabs for admin &gt;&gt;</vt:lpstr>
      <vt:lpstr>Onboarding tab</vt:lpstr>
      <vt:lpstr>Quarterly Input Tab</vt:lpstr>
      <vt:lpstr>Normal user can see this&gt;</vt:lpstr>
      <vt:lpstr>Ownerhsip %</vt:lpstr>
      <vt:lpstr>Cashflows Input Tab</vt:lpstr>
      <vt:lpstr>Working Logic Tabs &gt;&gt;</vt:lpstr>
      <vt:lpstr>NAV Walk tab</vt:lpstr>
      <vt:lpstr>Returns 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dhupar</dc:creator>
  <cp:lastModifiedBy>harsh dhupar</cp:lastModifiedBy>
  <dcterms:created xsi:type="dcterms:W3CDTF">2015-06-05T18:17:20Z</dcterms:created>
  <dcterms:modified xsi:type="dcterms:W3CDTF">2026-04-03T12:22:25Z</dcterms:modified>
</cp:coreProperties>
</file>